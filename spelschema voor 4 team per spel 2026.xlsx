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area05.grp\homes\dr345\MyDoc\Map Guido\PRIVE\"/>
    </mc:Choice>
  </mc:AlternateContent>
  <xr:revisionPtr revIDLastSave="0" documentId="13_ncr:1_{A74F4393-80EE-493D-A1EB-6A7A0C69C178}" xr6:coauthVersionLast="47" xr6:coauthVersionMax="47" xr10:uidLastSave="{00000000-0000-0000-0000-000000000000}"/>
  <bookViews>
    <workbookView xWindow="-110" yWindow="-110" windowWidth="19420" windowHeight="11500" tabRatio="843" xr2:uid="{00000000-000D-0000-FFFF-FFFF00000000}"/>
  </bookViews>
  <sheets>
    <sheet name="Schema!!!!!!" sheetId="1" r:id="rId1"/>
    <sheet name="Salty potato" sheetId="2" r:id="rId2"/>
    <sheet name="Pony polo" sheetId="42" r:id="rId3"/>
    <sheet name="Straat van Hormuz" sheetId="43" r:id="rId4"/>
    <sheet name="Red Claes Compaen" sheetId="44" r:id="rId5"/>
    <sheet name="Nick eten" sheetId="46" r:id="rId6"/>
    <sheet name="Danoontje Power" sheetId="47" r:id="rId7"/>
    <sheet name="Kamelen race" sheetId="48" r:id="rId8"/>
    <sheet name="Memory Romy" sheetId="49" r:id="rId9"/>
  </sheets>
  <definedNames>
    <definedName name="_xlnm.Print_Area" localSheetId="6">'Danoontje Power'!$A$1:$AI$42</definedName>
    <definedName name="_xlnm.Print_Area" localSheetId="7">'Kamelen race'!$A$1:$AI$42</definedName>
    <definedName name="_xlnm.Print_Area" localSheetId="8">'Memory Romy'!$A$1:$AI$42</definedName>
    <definedName name="_xlnm.Print_Area" localSheetId="5">'Nick eten'!$A$1:$AI$42</definedName>
    <definedName name="_xlnm.Print_Area" localSheetId="2">'Pony polo'!$A$1:$AI$50</definedName>
    <definedName name="_xlnm.Print_Area" localSheetId="4">'Red Claes Compaen'!$A$1:$AI$42</definedName>
    <definedName name="_xlnm.Print_Area" localSheetId="1">'Salty potato'!$A$1:$AI$42</definedName>
    <definedName name="_xlnm.Print_Area" localSheetId="0">'Schema!!!!!!'!$A$1:$M$43</definedName>
    <definedName name="_xlnm.Print_Area" localSheetId="3">'Straat van Hormuz'!$A$1:$AI$42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" i="1" l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C3" i="1"/>
  <c r="B3" i="1"/>
  <c r="E3" i="1"/>
  <c r="D3" i="1"/>
  <c r="E2" i="1"/>
  <c r="D2" i="1"/>
  <c r="C2" i="1"/>
  <c r="B2" i="1"/>
  <c r="F2" i="1"/>
  <c r="B18" i="1"/>
  <c r="E24" i="1"/>
  <c r="E37" i="1"/>
  <c r="I36" i="1"/>
  <c r="AF4" i="42"/>
  <c r="AF15" i="42"/>
  <c r="C17" i="1"/>
  <c r="C26" i="1"/>
  <c r="C38" i="1"/>
  <c r="G36" i="1"/>
  <c r="AD4" i="42"/>
  <c r="AC15" i="42"/>
  <c r="D17" i="1"/>
  <c r="D27" i="1"/>
  <c r="D39" i="1"/>
  <c r="H36" i="1"/>
  <c r="AE4" i="42"/>
  <c r="AF12" i="42"/>
  <c r="C21" i="1"/>
  <c r="B26" i="1"/>
  <c r="B35" i="1"/>
  <c r="F36" i="1"/>
  <c r="AC4" i="42"/>
  <c r="AC12" i="42"/>
  <c r="AF9" i="42"/>
  <c r="AC9" i="42"/>
  <c r="AF6" i="42"/>
  <c r="AC6" i="42"/>
  <c r="E18" i="1"/>
  <c r="E28" i="1"/>
  <c r="E36" i="1"/>
  <c r="W37" i="42"/>
  <c r="W48" i="42"/>
  <c r="B21" i="1"/>
  <c r="C24" i="1"/>
  <c r="C36" i="1"/>
  <c r="U37" i="42"/>
  <c r="T48" i="42"/>
  <c r="B17" i="1"/>
  <c r="D24" i="1"/>
  <c r="D36" i="1"/>
  <c r="V37" i="42"/>
  <c r="W45" i="42"/>
  <c r="D20" i="1"/>
  <c r="B27" i="1"/>
  <c r="B36" i="1"/>
  <c r="T37" i="42"/>
  <c r="T45" i="42"/>
  <c r="W42" i="42"/>
  <c r="T42" i="42"/>
  <c r="W39" i="42"/>
  <c r="T39" i="42"/>
  <c r="E19" i="1"/>
  <c r="E27" i="1"/>
  <c r="I26" i="1"/>
  <c r="M25" i="1"/>
  <c r="W20" i="42"/>
  <c r="W31" i="42"/>
  <c r="E21" i="1"/>
  <c r="C28" i="1"/>
  <c r="G26" i="1"/>
  <c r="K25" i="1"/>
  <c r="U20" i="42"/>
  <c r="T31" i="42"/>
  <c r="D18" i="1"/>
  <c r="D26" i="1"/>
  <c r="H28" i="1"/>
  <c r="L25" i="1"/>
  <c r="V20" i="42"/>
  <c r="W28" i="42"/>
  <c r="E20" i="1"/>
  <c r="B28" i="1"/>
  <c r="F24" i="1"/>
  <c r="J25" i="1"/>
  <c r="T20" i="42"/>
  <c r="T28" i="42"/>
  <c r="W25" i="42"/>
  <c r="T25" i="42"/>
  <c r="W22" i="42"/>
  <c r="T22" i="42"/>
  <c r="D19" i="1"/>
  <c r="E26" i="1"/>
  <c r="I25" i="1"/>
  <c r="W4" i="42"/>
  <c r="W15" i="42"/>
  <c r="D21" i="1"/>
  <c r="C27" i="1"/>
  <c r="G25" i="1"/>
  <c r="U4" i="42"/>
  <c r="T15" i="42"/>
  <c r="E17" i="1"/>
  <c r="D28" i="1"/>
  <c r="H25" i="1"/>
  <c r="V4" i="42"/>
  <c r="W12" i="42"/>
  <c r="B20" i="1"/>
  <c r="B24" i="1"/>
  <c r="F25" i="1"/>
  <c r="T4" i="42"/>
  <c r="T12" i="42"/>
  <c r="W9" i="42"/>
  <c r="T9" i="42"/>
  <c r="W6" i="42"/>
  <c r="T6" i="42"/>
  <c r="E14" i="1"/>
  <c r="N4" i="42"/>
  <c r="N15" i="42"/>
  <c r="C14" i="1"/>
  <c r="L4" i="42"/>
  <c r="K15" i="42"/>
  <c r="H2" i="1"/>
  <c r="L5" i="1"/>
  <c r="D14" i="1"/>
  <c r="M4" i="42"/>
  <c r="N12" i="42"/>
  <c r="B14" i="1"/>
  <c r="K4" i="42"/>
  <c r="K12" i="42"/>
  <c r="N9" i="42"/>
  <c r="K9" i="42"/>
  <c r="N6" i="42"/>
  <c r="K6" i="42"/>
  <c r="C20" i="1"/>
  <c r="E25" i="1"/>
  <c r="N37" i="42"/>
  <c r="N48" i="42"/>
  <c r="C18" i="1"/>
  <c r="C25" i="1"/>
  <c r="L37" i="42"/>
  <c r="K48" i="42"/>
  <c r="C19" i="1"/>
  <c r="D25" i="1"/>
  <c r="M37" i="42"/>
  <c r="N45" i="42"/>
  <c r="B19" i="1"/>
  <c r="B25" i="1"/>
  <c r="K37" i="42"/>
  <c r="K45" i="42"/>
  <c r="N42" i="42"/>
  <c r="K42" i="42"/>
  <c r="N39" i="42"/>
  <c r="K39" i="42"/>
  <c r="H3" i="1"/>
  <c r="D20" i="42"/>
  <c r="E28" i="42"/>
  <c r="I5" i="1"/>
  <c r="M3" i="1"/>
  <c r="E37" i="42"/>
  <c r="E48" i="42"/>
  <c r="G4" i="1"/>
  <c r="K3" i="1"/>
  <c r="C37" i="42"/>
  <c r="B48" i="42"/>
  <c r="H4" i="1"/>
  <c r="L3" i="1"/>
  <c r="D37" i="42"/>
  <c r="E45" i="42"/>
  <c r="J3" i="1"/>
  <c r="B37" i="42"/>
  <c r="B45" i="42"/>
  <c r="E42" i="42"/>
  <c r="B42" i="42"/>
  <c r="E39" i="42"/>
  <c r="B39" i="42"/>
  <c r="I3" i="1"/>
  <c r="E20" i="42"/>
  <c r="E31" i="42"/>
  <c r="G3" i="1"/>
  <c r="C20" i="42"/>
  <c r="B31" i="42"/>
  <c r="F3" i="1"/>
  <c r="B20" i="42"/>
  <c r="B28" i="42"/>
  <c r="E25" i="42"/>
  <c r="B25" i="42"/>
  <c r="E22" i="42"/>
  <c r="B22" i="42"/>
  <c r="E4" i="42"/>
  <c r="E15" i="42"/>
  <c r="C4" i="42"/>
  <c r="B15" i="42"/>
  <c r="D4" i="42"/>
  <c r="E12" i="42"/>
  <c r="B4" i="42"/>
  <c r="B12" i="42"/>
  <c r="A13" i="1"/>
  <c r="B2" i="2"/>
  <c r="K2" i="2"/>
  <c r="D6" i="44"/>
  <c r="E6" i="44"/>
  <c r="D35" i="1"/>
  <c r="H37" i="1"/>
  <c r="E38" i="1"/>
  <c r="I37" i="1"/>
  <c r="E39" i="1"/>
  <c r="I38" i="1"/>
  <c r="E35" i="1"/>
  <c r="I39" i="1"/>
  <c r="I35" i="1"/>
  <c r="G38" i="1"/>
  <c r="C35" i="1"/>
  <c r="G39" i="1"/>
  <c r="C37" i="1"/>
  <c r="G35" i="1"/>
  <c r="C39" i="1"/>
  <c r="G37" i="1"/>
  <c r="G17" i="1"/>
  <c r="G18" i="1"/>
  <c r="G19" i="1"/>
  <c r="G20" i="1"/>
  <c r="G21" i="1"/>
  <c r="L2" i="1"/>
  <c r="D15" i="1"/>
  <c r="H5" i="1"/>
  <c r="L4" i="1"/>
  <c r="D13" i="1"/>
  <c r="F40" i="1"/>
  <c r="A24" i="1"/>
  <c r="B2" i="46"/>
  <c r="K2" i="46"/>
  <c r="T2" i="46"/>
  <c r="AC2" i="46"/>
  <c r="AC1" i="46"/>
  <c r="B2" i="47"/>
  <c r="K2" i="47"/>
  <c r="T2" i="47"/>
  <c r="AC2" i="47"/>
  <c r="AC1" i="47"/>
  <c r="B2" i="48"/>
  <c r="K2" i="48"/>
  <c r="T2" i="48"/>
  <c r="AC2" i="48"/>
  <c r="AC1" i="48"/>
  <c r="A20" i="1"/>
  <c r="A32" i="1"/>
  <c r="A43" i="1"/>
  <c r="B2" i="49"/>
  <c r="K2" i="49"/>
  <c r="T2" i="49"/>
  <c r="AC2" i="49"/>
  <c r="AC1" i="49"/>
  <c r="H20" i="1"/>
  <c r="M14" i="49"/>
  <c r="I7" i="1"/>
  <c r="I20" i="1"/>
  <c r="N14" i="49"/>
  <c r="L14" i="49"/>
  <c r="F20" i="1"/>
  <c r="K14" i="49"/>
  <c r="N19" i="49"/>
  <c r="K19" i="49"/>
  <c r="N16" i="49"/>
  <c r="K16" i="49"/>
  <c r="H7" i="1"/>
  <c r="H19" i="1"/>
  <c r="M14" i="48"/>
  <c r="I6" i="1"/>
  <c r="I19" i="1"/>
  <c r="N14" i="48"/>
  <c r="O14" i="48"/>
  <c r="L14" i="48"/>
  <c r="F19" i="1"/>
  <c r="K14" i="48"/>
  <c r="N19" i="48"/>
  <c r="K19" i="48"/>
  <c r="N16" i="48"/>
  <c r="K16" i="48"/>
  <c r="K13" i="48"/>
  <c r="H18" i="1"/>
  <c r="M14" i="47"/>
  <c r="I18" i="1"/>
  <c r="N14" i="47"/>
  <c r="L14" i="47"/>
  <c r="F18" i="1"/>
  <c r="K14" i="47"/>
  <c r="N19" i="47"/>
  <c r="K19" i="47"/>
  <c r="N16" i="47"/>
  <c r="K16" i="47"/>
  <c r="B13" i="47"/>
  <c r="K13" i="47"/>
  <c r="H17" i="1"/>
  <c r="M14" i="46"/>
  <c r="I9" i="1"/>
  <c r="I17" i="1"/>
  <c r="N14" i="46"/>
  <c r="L14" i="46"/>
  <c r="F17" i="1"/>
  <c r="K14" i="46"/>
  <c r="N19" i="46"/>
  <c r="K19" i="46"/>
  <c r="N16" i="46"/>
  <c r="K16" i="46"/>
  <c r="K13" i="46"/>
  <c r="AC2" i="42"/>
  <c r="A14" i="1"/>
  <c r="B3" i="42"/>
  <c r="K3" i="42"/>
  <c r="T3" i="42"/>
  <c r="AC3" i="42"/>
  <c r="D38" i="1"/>
  <c r="H35" i="1"/>
  <c r="AE3" i="2"/>
  <c r="I27" i="1"/>
  <c r="AF3" i="2"/>
  <c r="AD3" i="2"/>
  <c r="B39" i="1"/>
  <c r="F35" i="1"/>
  <c r="AC3" i="2"/>
  <c r="AE5" i="43"/>
  <c r="AF5" i="43"/>
  <c r="AD5" i="43"/>
  <c r="F37" i="1"/>
  <c r="AC5" i="43"/>
  <c r="AC3" i="43"/>
  <c r="AF10" i="43"/>
  <c r="AC10" i="43"/>
  <c r="AF7" i="43"/>
  <c r="AC7" i="43"/>
  <c r="A15" i="1"/>
  <c r="B4" i="43"/>
  <c r="K4" i="43"/>
  <c r="T4" i="43"/>
  <c r="AC4" i="43"/>
  <c r="AC1" i="2"/>
  <c r="AF8" i="2"/>
  <c r="AC8" i="2"/>
  <c r="AF5" i="2"/>
  <c r="AC5" i="2"/>
  <c r="T2" i="2"/>
  <c r="AC2" i="2"/>
  <c r="AC4" i="44"/>
  <c r="A16" i="1"/>
  <c r="B5" i="44"/>
  <c r="K5" i="44"/>
  <c r="T5" i="44"/>
  <c r="AC5" i="44"/>
  <c r="H38" i="1"/>
  <c r="AE6" i="44"/>
  <c r="AF6" i="44"/>
  <c r="AD6" i="44"/>
  <c r="B37" i="1"/>
  <c r="F38" i="1"/>
  <c r="AC6" i="44"/>
  <c r="AF11" i="44"/>
  <c r="AC11" i="44"/>
  <c r="AF8" i="44"/>
  <c r="AC8" i="44"/>
  <c r="E13" i="1"/>
  <c r="D37" i="1"/>
  <c r="H39" i="1"/>
  <c r="B38" i="1"/>
  <c r="F39" i="1"/>
  <c r="I24" i="1"/>
  <c r="M28" i="1"/>
  <c r="H26" i="1"/>
  <c r="L28" i="1"/>
  <c r="G24" i="1"/>
  <c r="K28" i="1"/>
  <c r="F27" i="1"/>
  <c r="J28" i="1"/>
  <c r="I28" i="1"/>
  <c r="G28" i="1"/>
  <c r="F28" i="1"/>
  <c r="M27" i="1"/>
  <c r="L27" i="1"/>
  <c r="K27" i="1"/>
  <c r="F26" i="1"/>
  <c r="J27" i="1"/>
  <c r="H27" i="1"/>
  <c r="G27" i="1"/>
  <c r="M26" i="1"/>
  <c r="H24" i="1"/>
  <c r="L26" i="1"/>
  <c r="K26" i="1"/>
  <c r="J26" i="1"/>
  <c r="M24" i="1"/>
  <c r="L24" i="1"/>
  <c r="K24" i="1"/>
  <c r="J24" i="1"/>
  <c r="I21" i="1"/>
  <c r="F21" i="1"/>
  <c r="H21" i="1"/>
  <c r="L9" i="1"/>
  <c r="H6" i="1"/>
  <c r="L8" i="1"/>
  <c r="H10" i="1"/>
  <c r="L7" i="1"/>
  <c r="H9" i="1"/>
  <c r="L6" i="1"/>
  <c r="H8" i="1"/>
  <c r="L10" i="1"/>
  <c r="G8" i="1"/>
  <c r="F6" i="1"/>
  <c r="G7" i="1"/>
  <c r="F9" i="1"/>
  <c r="I8" i="1"/>
  <c r="G6" i="1"/>
  <c r="F8" i="1"/>
  <c r="G9" i="1"/>
  <c r="F7" i="1"/>
  <c r="K10" i="1"/>
  <c r="G10" i="1"/>
  <c r="K9" i="1"/>
  <c r="M6" i="1"/>
  <c r="M7" i="1"/>
  <c r="M8" i="1"/>
  <c r="M10" i="1"/>
  <c r="I10" i="1"/>
  <c r="M9" i="1"/>
  <c r="F10" i="1"/>
  <c r="J6" i="1"/>
  <c r="J10" i="1"/>
  <c r="I2" i="1"/>
  <c r="F5" i="1"/>
  <c r="I4" i="1"/>
  <c r="G2" i="1"/>
  <c r="F4" i="1"/>
  <c r="G5" i="1"/>
  <c r="B16" i="1"/>
  <c r="K6" i="44"/>
  <c r="K13" i="2"/>
  <c r="E3" i="46"/>
  <c r="D3" i="46"/>
  <c r="C3" i="46"/>
  <c r="E16" i="1"/>
  <c r="E29" i="1"/>
  <c r="E42" i="1"/>
  <c r="B13" i="1"/>
  <c r="C13" i="1"/>
  <c r="N3" i="46"/>
  <c r="M3" i="46"/>
  <c r="B15" i="1"/>
  <c r="B30" i="1"/>
  <c r="B40" i="1"/>
  <c r="T28" i="46"/>
  <c r="T30" i="46"/>
  <c r="J2" i="1"/>
  <c r="K2" i="1"/>
  <c r="M2" i="1"/>
  <c r="C31" i="1"/>
  <c r="C43" i="1"/>
  <c r="U28" i="49"/>
  <c r="D29" i="1"/>
  <c r="D43" i="1"/>
  <c r="V28" i="49"/>
  <c r="E30" i="1"/>
  <c r="E43" i="1"/>
  <c r="W28" i="49"/>
  <c r="B29" i="1"/>
  <c r="B43" i="1"/>
  <c r="T28" i="49"/>
  <c r="C16" i="1"/>
  <c r="C30" i="1"/>
  <c r="G29" i="1"/>
  <c r="K32" i="1"/>
  <c r="U14" i="49"/>
  <c r="D16" i="1"/>
  <c r="D31" i="1"/>
  <c r="H30" i="1"/>
  <c r="L32" i="1"/>
  <c r="V14" i="49"/>
  <c r="E31" i="1"/>
  <c r="I29" i="1"/>
  <c r="M32" i="1"/>
  <c r="W14" i="49"/>
  <c r="F31" i="1"/>
  <c r="J32" i="1"/>
  <c r="T14" i="49"/>
  <c r="C15" i="1"/>
  <c r="C29" i="1"/>
  <c r="G32" i="1"/>
  <c r="U3" i="49"/>
  <c r="D30" i="1"/>
  <c r="H32" i="1"/>
  <c r="V3" i="49"/>
  <c r="I32" i="1"/>
  <c r="W3" i="49"/>
  <c r="B31" i="1"/>
  <c r="F32" i="1"/>
  <c r="T3" i="49"/>
  <c r="C32" i="1"/>
  <c r="L28" i="49"/>
  <c r="D32" i="1"/>
  <c r="M28" i="49"/>
  <c r="E15" i="1"/>
  <c r="E32" i="1"/>
  <c r="N28" i="49"/>
  <c r="B32" i="1"/>
  <c r="K28" i="49"/>
  <c r="L3" i="49"/>
  <c r="M3" i="49"/>
  <c r="N3" i="49"/>
  <c r="K3" i="49"/>
  <c r="C28" i="49"/>
  <c r="D28" i="49"/>
  <c r="E28" i="49"/>
  <c r="J9" i="1"/>
  <c r="B28" i="49"/>
  <c r="C14" i="49"/>
  <c r="D14" i="49"/>
  <c r="E14" i="49"/>
  <c r="B14" i="49"/>
  <c r="C3" i="49"/>
  <c r="D3" i="49"/>
  <c r="E3" i="49"/>
  <c r="B3" i="49"/>
  <c r="W33" i="49"/>
  <c r="T33" i="49"/>
  <c r="N33" i="49"/>
  <c r="K33" i="49"/>
  <c r="E33" i="49"/>
  <c r="B33" i="49"/>
  <c r="W30" i="49"/>
  <c r="T30" i="49"/>
  <c r="N30" i="49"/>
  <c r="K30" i="49"/>
  <c r="E30" i="49"/>
  <c r="B30" i="49"/>
  <c r="T13" i="49"/>
  <c r="T27" i="49"/>
  <c r="K27" i="49"/>
  <c r="B27" i="49"/>
  <c r="T26" i="49"/>
  <c r="K26" i="49"/>
  <c r="B26" i="49"/>
  <c r="W19" i="49"/>
  <c r="T19" i="49"/>
  <c r="E19" i="49"/>
  <c r="B19" i="49"/>
  <c r="W16" i="49"/>
  <c r="T16" i="49"/>
  <c r="E16" i="49"/>
  <c r="B16" i="49"/>
  <c r="K13" i="49"/>
  <c r="B13" i="49"/>
  <c r="T12" i="49"/>
  <c r="K12" i="49"/>
  <c r="B12" i="49"/>
  <c r="W8" i="49"/>
  <c r="T8" i="49"/>
  <c r="N8" i="49"/>
  <c r="K8" i="49"/>
  <c r="E8" i="49"/>
  <c r="B8" i="49"/>
  <c r="W5" i="49"/>
  <c r="T5" i="49"/>
  <c r="N5" i="49"/>
  <c r="K5" i="49"/>
  <c r="E5" i="49"/>
  <c r="B5" i="49"/>
  <c r="T1" i="49"/>
  <c r="K1" i="49"/>
  <c r="B1" i="49"/>
  <c r="C42" i="1"/>
  <c r="U28" i="48"/>
  <c r="D42" i="1"/>
  <c r="V28" i="48"/>
  <c r="W28" i="48"/>
  <c r="B42" i="1"/>
  <c r="T28" i="48"/>
  <c r="K31" i="1"/>
  <c r="U14" i="48"/>
  <c r="H29" i="1"/>
  <c r="L31" i="1"/>
  <c r="V14" i="48"/>
  <c r="I30" i="1"/>
  <c r="M31" i="1"/>
  <c r="W14" i="48"/>
  <c r="F30" i="1"/>
  <c r="J31" i="1"/>
  <c r="T14" i="48"/>
  <c r="G31" i="1"/>
  <c r="U3" i="48"/>
  <c r="H31" i="1"/>
  <c r="V3" i="48"/>
  <c r="I31" i="1"/>
  <c r="W3" i="48"/>
  <c r="T3" i="48"/>
  <c r="L28" i="48"/>
  <c r="M28" i="48"/>
  <c r="N28" i="48"/>
  <c r="K28" i="48"/>
  <c r="L3" i="48"/>
  <c r="M3" i="48"/>
  <c r="N3" i="48"/>
  <c r="K3" i="48"/>
  <c r="K8" i="1"/>
  <c r="C28" i="48"/>
  <c r="D28" i="48"/>
  <c r="E28" i="48"/>
  <c r="J8" i="1"/>
  <c r="B28" i="48"/>
  <c r="C14" i="48"/>
  <c r="D14" i="48"/>
  <c r="E14" i="48"/>
  <c r="B14" i="48"/>
  <c r="C3" i="48"/>
  <c r="D3" i="48"/>
  <c r="E3" i="48"/>
  <c r="B3" i="48"/>
  <c r="W33" i="48"/>
  <c r="T33" i="48"/>
  <c r="N33" i="48"/>
  <c r="K33" i="48"/>
  <c r="E33" i="48"/>
  <c r="B33" i="48"/>
  <c r="W30" i="48"/>
  <c r="T30" i="48"/>
  <c r="N30" i="48"/>
  <c r="K30" i="48"/>
  <c r="E30" i="48"/>
  <c r="B30" i="48"/>
  <c r="T13" i="48"/>
  <c r="T27" i="48"/>
  <c r="K27" i="48"/>
  <c r="B27" i="48"/>
  <c r="T26" i="48"/>
  <c r="K26" i="48"/>
  <c r="B26" i="48"/>
  <c r="W19" i="48"/>
  <c r="T19" i="48"/>
  <c r="E19" i="48"/>
  <c r="B19" i="48"/>
  <c r="W16" i="48"/>
  <c r="T16" i="48"/>
  <c r="E16" i="48"/>
  <c r="B16" i="48"/>
  <c r="B13" i="48"/>
  <c r="T12" i="48"/>
  <c r="K12" i="48"/>
  <c r="B12" i="48"/>
  <c r="W8" i="48"/>
  <c r="T8" i="48"/>
  <c r="N8" i="48"/>
  <c r="K8" i="48"/>
  <c r="E8" i="48"/>
  <c r="B8" i="48"/>
  <c r="W5" i="48"/>
  <c r="T5" i="48"/>
  <c r="N5" i="48"/>
  <c r="K5" i="48"/>
  <c r="E5" i="48"/>
  <c r="B5" i="48"/>
  <c r="T1" i="48"/>
  <c r="K1" i="48"/>
  <c r="B1" i="48"/>
  <c r="C41" i="1"/>
  <c r="U28" i="47"/>
  <c r="D41" i="1"/>
  <c r="V28" i="47"/>
  <c r="E41" i="1"/>
  <c r="W28" i="47"/>
  <c r="B41" i="1"/>
  <c r="T28" i="47"/>
  <c r="K30" i="1"/>
  <c r="U14" i="47"/>
  <c r="L30" i="1"/>
  <c r="V14" i="47"/>
  <c r="M30" i="1"/>
  <c r="W14" i="47"/>
  <c r="F29" i="1"/>
  <c r="J30" i="1"/>
  <c r="T14" i="47"/>
  <c r="G30" i="1"/>
  <c r="U3" i="47"/>
  <c r="V3" i="47"/>
  <c r="W3" i="47"/>
  <c r="T3" i="47"/>
  <c r="L28" i="47"/>
  <c r="M28" i="47"/>
  <c r="N28" i="47"/>
  <c r="K28" i="47"/>
  <c r="C40" i="1"/>
  <c r="U28" i="46"/>
  <c r="D40" i="1"/>
  <c r="V28" i="46"/>
  <c r="E40" i="1"/>
  <c r="W28" i="46"/>
  <c r="K29" i="1"/>
  <c r="U14" i="46"/>
  <c r="L29" i="1"/>
  <c r="V14" i="46"/>
  <c r="M29" i="1"/>
  <c r="W14" i="46"/>
  <c r="J29" i="1"/>
  <c r="T14" i="46"/>
  <c r="U3" i="46"/>
  <c r="V3" i="46"/>
  <c r="W3" i="46"/>
  <c r="T3" i="46"/>
  <c r="L28" i="46"/>
  <c r="M28" i="46"/>
  <c r="N28" i="46"/>
  <c r="K28" i="46"/>
  <c r="L3" i="47"/>
  <c r="M3" i="47"/>
  <c r="N3" i="47"/>
  <c r="K3" i="47"/>
  <c r="K7" i="1"/>
  <c r="C28" i="47"/>
  <c r="D28" i="47"/>
  <c r="E28" i="47"/>
  <c r="J7" i="1"/>
  <c r="B28" i="47"/>
  <c r="C14" i="47"/>
  <c r="D14" i="47"/>
  <c r="E14" i="47"/>
  <c r="B14" i="47"/>
  <c r="C3" i="47"/>
  <c r="D3" i="47"/>
  <c r="E3" i="47"/>
  <c r="B3" i="47"/>
  <c r="W33" i="47"/>
  <c r="T33" i="47"/>
  <c r="N33" i="47"/>
  <c r="K33" i="47"/>
  <c r="E33" i="47"/>
  <c r="B33" i="47"/>
  <c r="W30" i="47"/>
  <c r="T30" i="47"/>
  <c r="N30" i="47"/>
  <c r="K30" i="47"/>
  <c r="E30" i="47"/>
  <c r="B30" i="47"/>
  <c r="T13" i="47"/>
  <c r="T27" i="47"/>
  <c r="K27" i="47"/>
  <c r="B27" i="47"/>
  <c r="T26" i="47"/>
  <c r="K26" i="47"/>
  <c r="B26" i="47"/>
  <c r="W19" i="47"/>
  <c r="T19" i="47"/>
  <c r="E19" i="47"/>
  <c r="B19" i="47"/>
  <c r="W16" i="47"/>
  <c r="T16" i="47"/>
  <c r="E16" i="47"/>
  <c r="B16" i="47"/>
  <c r="T12" i="47"/>
  <c r="K12" i="47"/>
  <c r="B12" i="47"/>
  <c r="W8" i="47"/>
  <c r="T8" i="47"/>
  <c r="N8" i="47"/>
  <c r="K8" i="47"/>
  <c r="E8" i="47"/>
  <c r="B8" i="47"/>
  <c r="W5" i="47"/>
  <c r="T5" i="47"/>
  <c r="N5" i="47"/>
  <c r="K5" i="47"/>
  <c r="E5" i="47"/>
  <c r="B5" i="47"/>
  <c r="T1" i="47"/>
  <c r="K1" i="47"/>
  <c r="B1" i="47"/>
  <c r="T26" i="46"/>
  <c r="W33" i="46"/>
  <c r="T33" i="46"/>
  <c r="W30" i="46"/>
  <c r="T13" i="46"/>
  <c r="T27" i="46"/>
  <c r="T28" i="43"/>
  <c r="T29" i="44"/>
  <c r="W31" i="44"/>
  <c r="W36" i="44"/>
  <c r="V31" i="44"/>
  <c r="T36" i="44"/>
  <c r="U31" i="44"/>
  <c r="W33" i="44"/>
  <c r="T31" i="44"/>
  <c r="T33" i="44"/>
  <c r="T16" i="44"/>
  <c r="T30" i="44"/>
  <c r="T30" i="43"/>
  <c r="W30" i="43"/>
  <c r="W35" i="43"/>
  <c r="V30" i="43"/>
  <c r="T35" i="43"/>
  <c r="U30" i="43"/>
  <c r="W32" i="43"/>
  <c r="T32" i="43"/>
  <c r="T15" i="43"/>
  <c r="T29" i="43"/>
  <c r="W28" i="2"/>
  <c r="V28" i="2"/>
  <c r="U28" i="2"/>
  <c r="T28" i="2"/>
  <c r="T13" i="2"/>
  <c r="T27" i="2"/>
  <c r="T35" i="42"/>
  <c r="T19" i="42"/>
  <c r="T36" i="42"/>
  <c r="T26" i="2"/>
  <c r="W33" i="2"/>
  <c r="T33" i="2"/>
  <c r="W30" i="2"/>
  <c r="T30" i="2"/>
  <c r="L3" i="46"/>
  <c r="K3" i="46"/>
  <c r="E28" i="46"/>
  <c r="D28" i="46"/>
  <c r="K6" i="1"/>
  <c r="C28" i="46"/>
  <c r="B28" i="46"/>
  <c r="E14" i="46"/>
  <c r="D14" i="46"/>
  <c r="C14" i="46"/>
  <c r="B14" i="46"/>
  <c r="B3" i="46"/>
  <c r="N33" i="46"/>
  <c r="K33" i="46"/>
  <c r="E33" i="46"/>
  <c r="B33" i="46"/>
  <c r="N30" i="46"/>
  <c r="K30" i="46"/>
  <c r="E30" i="46"/>
  <c r="B30" i="46"/>
  <c r="K27" i="46"/>
  <c r="B27" i="46"/>
  <c r="K26" i="46"/>
  <c r="B26" i="46"/>
  <c r="W19" i="46"/>
  <c r="T19" i="46"/>
  <c r="E19" i="46"/>
  <c r="B19" i="46"/>
  <c r="W16" i="46"/>
  <c r="T16" i="46"/>
  <c r="E16" i="46"/>
  <c r="B16" i="46"/>
  <c r="B13" i="46"/>
  <c r="T12" i="46"/>
  <c r="K12" i="46"/>
  <c r="B12" i="46"/>
  <c r="W8" i="46"/>
  <c r="T8" i="46"/>
  <c r="N8" i="46"/>
  <c r="K8" i="46"/>
  <c r="E8" i="46"/>
  <c r="B8" i="46"/>
  <c r="W5" i="46"/>
  <c r="T5" i="46"/>
  <c r="N5" i="46"/>
  <c r="K5" i="46"/>
  <c r="E5" i="46"/>
  <c r="B5" i="46"/>
  <c r="T1" i="46"/>
  <c r="K1" i="46"/>
  <c r="B1" i="46"/>
  <c r="T15" i="44"/>
  <c r="K29" i="44"/>
  <c r="B29" i="44"/>
  <c r="K17" i="44"/>
  <c r="B14" i="43"/>
  <c r="K15" i="44"/>
  <c r="B15" i="44"/>
  <c r="T4" i="44"/>
  <c r="K4" i="44"/>
  <c r="B4" i="44"/>
  <c r="B6" i="44"/>
  <c r="C6" i="44"/>
  <c r="L6" i="44"/>
  <c r="M6" i="44"/>
  <c r="N6" i="44"/>
  <c r="T6" i="44"/>
  <c r="U6" i="44"/>
  <c r="V6" i="44"/>
  <c r="W6" i="44"/>
  <c r="B8" i="44"/>
  <c r="E8" i="44"/>
  <c r="K8" i="44"/>
  <c r="N8" i="44"/>
  <c r="T8" i="44"/>
  <c r="W8" i="44"/>
  <c r="B11" i="44"/>
  <c r="E11" i="44"/>
  <c r="K11" i="44"/>
  <c r="N11" i="44"/>
  <c r="T11" i="44"/>
  <c r="W11" i="44"/>
  <c r="B16" i="44"/>
  <c r="K16" i="44"/>
  <c r="B17" i="44"/>
  <c r="C17" i="44"/>
  <c r="D17" i="44"/>
  <c r="E17" i="44"/>
  <c r="T17" i="44"/>
  <c r="U17" i="44"/>
  <c r="V17" i="44"/>
  <c r="W17" i="44"/>
  <c r="B19" i="44"/>
  <c r="E19" i="44"/>
  <c r="T19" i="44"/>
  <c r="W19" i="44"/>
  <c r="B22" i="44"/>
  <c r="E22" i="44"/>
  <c r="T22" i="44"/>
  <c r="W22" i="44"/>
  <c r="B30" i="44"/>
  <c r="K30" i="44"/>
  <c r="J5" i="1"/>
  <c r="B31" i="44"/>
  <c r="K5" i="1"/>
  <c r="C31" i="44"/>
  <c r="D31" i="44"/>
  <c r="M5" i="1"/>
  <c r="E31" i="44"/>
  <c r="K31" i="44"/>
  <c r="L31" i="44"/>
  <c r="M31" i="44"/>
  <c r="N31" i="44"/>
  <c r="B33" i="44"/>
  <c r="E33" i="44"/>
  <c r="K33" i="44"/>
  <c r="N33" i="44"/>
  <c r="B36" i="44"/>
  <c r="E36" i="44"/>
  <c r="K36" i="44"/>
  <c r="N36" i="44"/>
  <c r="T14" i="43"/>
  <c r="K28" i="43"/>
  <c r="B28" i="43"/>
  <c r="K14" i="43"/>
  <c r="K16" i="43"/>
  <c r="T3" i="43"/>
  <c r="K3" i="43"/>
  <c r="B3" i="43"/>
  <c r="B5" i="43"/>
  <c r="C5" i="43"/>
  <c r="D5" i="43"/>
  <c r="E5" i="43"/>
  <c r="K5" i="43"/>
  <c r="L5" i="43"/>
  <c r="M5" i="43"/>
  <c r="N5" i="43"/>
  <c r="T5" i="43"/>
  <c r="U5" i="43"/>
  <c r="V5" i="43"/>
  <c r="W5" i="43"/>
  <c r="B7" i="43"/>
  <c r="E7" i="43"/>
  <c r="K7" i="43"/>
  <c r="N7" i="43"/>
  <c r="T7" i="43"/>
  <c r="W7" i="43"/>
  <c r="B10" i="43"/>
  <c r="E10" i="43"/>
  <c r="K10" i="43"/>
  <c r="N10" i="43"/>
  <c r="T10" i="43"/>
  <c r="W10" i="43"/>
  <c r="B15" i="43"/>
  <c r="K15" i="43"/>
  <c r="B16" i="43"/>
  <c r="C16" i="43"/>
  <c r="D16" i="43"/>
  <c r="E16" i="43"/>
  <c r="T16" i="43"/>
  <c r="U16" i="43"/>
  <c r="V16" i="43"/>
  <c r="W16" i="43"/>
  <c r="B18" i="43"/>
  <c r="E18" i="43"/>
  <c r="T18" i="43"/>
  <c r="W18" i="43"/>
  <c r="B21" i="43"/>
  <c r="E21" i="43"/>
  <c r="T21" i="43"/>
  <c r="W21" i="43"/>
  <c r="B29" i="43"/>
  <c r="K29" i="43"/>
  <c r="J4" i="1"/>
  <c r="B30" i="43"/>
  <c r="K4" i="1"/>
  <c r="C30" i="43"/>
  <c r="D30" i="43"/>
  <c r="M4" i="1"/>
  <c r="E30" i="43"/>
  <c r="K30" i="43"/>
  <c r="L30" i="43"/>
  <c r="M30" i="43"/>
  <c r="N30" i="43"/>
  <c r="B32" i="43"/>
  <c r="E32" i="43"/>
  <c r="K32" i="43"/>
  <c r="N32" i="43"/>
  <c r="B35" i="43"/>
  <c r="E35" i="43"/>
  <c r="K35" i="43"/>
  <c r="N35" i="43"/>
  <c r="T2" i="42"/>
  <c r="K2" i="42"/>
  <c r="T18" i="42"/>
  <c r="K20" i="42"/>
  <c r="K35" i="42"/>
  <c r="K18" i="42"/>
  <c r="B35" i="42"/>
  <c r="B18" i="42"/>
  <c r="B2" i="42"/>
  <c r="K19" i="42"/>
  <c r="K36" i="42"/>
  <c r="B6" i="42"/>
  <c r="E6" i="42"/>
  <c r="B9" i="42"/>
  <c r="E9" i="42"/>
  <c r="B19" i="42"/>
  <c r="B36" i="42"/>
  <c r="W14" i="2"/>
  <c r="V14" i="2"/>
  <c r="U14" i="2"/>
  <c r="T14" i="2"/>
  <c r="W3" i="2"/>
  <c r="V3" i="2"/>
  <c r="U3" i="2"/>
  <c r="T3" i="2"/>
  <c r="T12" i="2"/>
  <c r="T1" i="2"/>
  <c r="W19" i="2"/>
  <c r="T19" i="2"/>
  <c r="W16" i="2"/>
  <c r="T16" i="2"/>
  <c r="W8" i="2"/>
  <c r="T8" i="2"/>
  <c r="W5" i="2"/>
  <c r="T5" i="2"/>
  <c r="N28" i="2"/>
  <c r="M28" i="2"/>
  <c r="L28" i="2"/>
  <c r="K28" i="2"/>
  <c r="N3" i="2"/>
  <c r="M3" i="2"/>
  <c r="L3" i="2"/>
  <c r="K3" i="2"/>
  <c r="K26" i="2"/>
  <c r="K14" i="2"/>
  <c r="K12" i="2"/>
  <c r="K1" i="2"/>
  <c r="N33" i="2"/>
  <c r="K33" i="2"/>
  <c r="N30" i="2"/>
  <c r="K30" i="2"/>
  <c r="K27" i="2"/>
  <c r="N8" i="2"/>
  <c r="K8" i="2"/>
  <c r="N5" i="2"/>
  <c r="K5" i="2"/>
  <c r="D28" i="2"/>
  <c r="E28" i="2"/>
  <c r="C28" i="2"/>
  <c r="B28" i="2"/>
  <c r="B26" i="2"/>
  <c r="C14" i="2"/>
  <c r="D14" i="2"/>
  <c r="E14" i="2"/>
  <c r="B14" i="2"/>
  <c r="B13" i="2"/>
  <c r="B12" i="2"/>
  <c r="E19" i="2"/>
  <c r="B19" i="2"/>
  <c r="E16" i="2"/>
  <c r="B16" i="2"/>
  <c r="B27" i="2"/>
  <c r="A19" i="1"/>
  <c r="A31" i="1"/>
  <c r="A42" i="1"/>
  <c r="A18" i="1"/>
  <c r="A30" i="1"/>
  <c r="A41" i="1"/>
  <c r="A17" i="1"/>
  <c r="A29" i="1"/>
  <c r="A40" i="1"/>
  <c r="A27" i="1"/>
  <c r="A38" i="1"/>
  <c r="A26" i="1"/>
  <c r="A37" i="1"/>
  <c r="A25" i="1"/>
  <c r="A36" i="1"/>
  <c r="A35" i="1"/>
  <c r="E3" i="2"/>
  <c r="D3" i="2"/>
  <c r="C3" i="2"/>
  <c r="B3" i="2"/>
  <c r="B1" i="2"/>
  <c r="E33" i="2"/>
  <c r="B33" i="2"/>
  <c r="E30" i="2"/>
  <c r="B30" i="2"/>
  <c r="E8" i="2"/>
  <c r="B8" i="2"/>
  <c r="E5" i="2"/>
  <c r="B5" i="2"/>
</calcChain>
</file>

<file path=xl/sharedStrings.xml><?xml version="1.0" encoding="utf-8"?>
<sst xmlns="http://schemas.openxmlformats.org/spreadsheetml/2006/main" count="67" uniqueCount="61">
  <si>
    <t>ronde 1</t>
  </si>
  <si>
    <t>ronde 2</t>
  </si>
  <si>
    <t>ronde 3</t>
  </si>
  <si>
    <t>ronde 4</t>
  </si>
  <si>
    <t>ronde 5</t>
  </si>
  <si>
    <t>ronde 6</t>
  </si>
  <si>
    <t>ronde 7</t>
  </si>
  <si>
    <t>ronde 8</t>
  </si>
  <si>
    <t>ronde 9</t>
  </si>
  <si>
    <t>PAUZE RONDE</t>
  </si>
  <si>
    <t>ronde 10</t>
  </si>
  <si>
    <t>Pauze</t>
  </si>
  <si>
    <r>
      <rPr>
        <sz val="24"/>
        <color rgb="FF000000"/>
        <rFont val="Calibri"/>
        <family val="2"/>
      </rPr>
      <t>← (</t>
    </r>
    <r>
      <rPr>
        <sz val="20"/>
        <color rgb="FF000000"/>
        <rFont val="Calibri"/>
        <family val="2"/>
      </rPr>
      <t>PAUZE) voor de teams hiernaast</t>
    </r>
  </si>
  <si>
    <t>Straat van Hormuz</t>
  </si>
  <si>
    <t>Pony Polo</t>
  </si>
  <si>
    <t>Nick’s Weekendspecial</t>
  </si>
  <si>
    <t>Memory Romy</t>
  </si>
  <si>
    <t>Danoontje Powerrrrrr</t>
  </si>
  <si>
    <t>Kamelenrace</t>
  </si>
  <si>
    <t>Salty potato in the hole</t>
  </si>
  <si>
    <t>Red Claes Compaen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</si>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</sst>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  <font>
      <sz val="20"/>
      <color rgb="FF000000"/>
      <name val="Calibri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10"/>
      <color rgb="FF434343"/>
      <name val="Arial"/>
      <family val="2"/>
    </font>
    <font>
      <sz val="4"/>
      <color rgb="FF000000"/>
      <name val="Calibri"/>
      <family val="2"/>
    </font>
    <font>
      <sz val="4"/>
      <color rgb="FF434343"/>
      <name val="Arial"/>
      <family val="2"/>
    </font>
    <font>
      <sz val="5"/>
      <color rgb="FF000000"/>
      <name val="Calibri"/>
      <family val="2"/>
    </font>
    <font>
      <sz val="4"/>
      <color rgb="FF000000"/>
      <name val="Arial"/>
      <family val="2"/>
    </font>
    <font>
      <sz val="24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4">
    <xf numFmtId="0" fontId="0" fillId="0" borderId="0" xfId="0"/>
    <xf numFmtId="0" fontId="2" fillId="0" borderId="0" xfId="0" applyFont="1"/>
    <xf numFmtId="0" fontId="2" fillId="0" borderId="5" xfId="0" applyFont="1" applyBorder="1"/>
    <xf numFmtId="0" fontId="1" fillId="0" borderId="0" xfId="1"/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2" borderId="0" xfId="0" applyFill="1"/>
    <xf numFmtId="0" fontId="7" fillId="0" borderId="0" xfId="0" applyFont="1"/>
    <xf numFmtId="0" fontId="9" fillId="0" borderId="0" xfId="0" applyFont="1"/>
    <xf numFmtId="0" fontId="10" fillId="4" borderId="5" xfId="0" applyFont="1" applyFill="1" applyBorder="1"/>
    <xf numFmtId="0" fontId="10" fillId="5" borderId="5" xfId="0" applyFont="1" applyFill="1" applyBorder="1"/>
    <xf numFmtId="0" fontId="2" fillId="6" borderId="1" xfId="0" applyFont="1" applyFill="1" applyBorder="1"/>
    <xf numFmtId="0" fontId="10" fillId="7" borderId="5" xfId="0" applyFont="1" applyFill="1" applyBorder="1"/>
    <xf numFmtId="0" fontId="10" fillId="8" borderId="5" xfId="0" applyFont="1" applyFill="1" applyBorder="1"/>
    <xf numFmtId="0" fontId="10" fillId="3" borderId="5" xfId="0" applyFont="1" applyFill="1" applyBorder="1"/>
    <xf numFmtId="0" fontId="2" fillId="9" borderId="1" xfId="0" applyFont="1" applyFill="1" applyBorder="1"/>
    <xf numFmtId="0" fontId="10" fillId="10" borderId="5" xfId="0" applyFont="1" applyFill="1" applyBorder="1"/>
    <xf numFmtId="0" fontId="0" fillId="0" borderId="39" xfId="0" applyBorder="1"/>
    <xf numFmtId="0" fontId="0" fillId="2" borderId="4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3" xfId="0" applyFill="1" applyBorder="1"/>
    <xf numFmtId="0" fontId="0" fillId="2" borderId="6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2" xfId="0" applyFill="1" applyBorder="1"/>
    <xf numFmtId="0" fontId="9" fillId="2" borderId="8" xfId="0" applyFont="1" applyFill="1" applyBorder="1"/>
    <xf numFmtId="0" fontId="9" fillId="2" borderId="6" xfId="0" applyFont="1" applyFill="1" applyBorder="1"/>
    <xf numFmtId="0" fontId="9" fillId="2" borderId="7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2" borderId="4" xfId="0" applyFont="1" applyFill="1" applyBorder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0" fontId="9" fillId="2" borderId="4" xfId="0" applyFont="1" applyFill="1" applyBorder="1"/>
    <xf numFmtId="0" fontId="2" fillId="2" borderId="0" xfId="0" applyFont="1" applyFill="1"/>
    <xf numFmtId="0" fontId="0" fillId="2" borderId="30" xfId="0" applyFill="1" applyBorder="1"/>
    <xf numFmtId="0" fontId="8" fillId="2" borderId="10" xfId="0" applyFont="1" applyFill="1" applyBorder="1"/>
    <xf numFmtId="0" fontId="9" fillId="2" borderId="11" xfId="0" applyFont="1" applyFill="1" applyBorder="1"/>
    <xf numFmtId="0" fontId="8" fillId="2" borderId="8" xfId="0" applyFont="1" applyFill="1" applyBorder="1"/>
    <xf numFmtId="0" fontId="8" fillId="2" borderId="3" xfId="0" applyFont="1" applyFill="1" applyBorder="1"/>
    <xf numFmtId="0" fontId="8" fillId="2" borderId="7" xfId="0" applyFont="1" applyFill="1" applyBorder="1"/>
    <xf numFmtId="0" fontId="8" fillId="2" borderId="12" xfId="0" applyFont="1" applyFill="1" applyBorder="1"/>
    <xf numFmtId="0" fontId="11" fillId="6" borderId="31" xfId="0" applyFont="1" applyFill="1" applyBorder="1"/>
    <xf numFmtId="0" fontId="0" fillId="2" borderId="32" xfId="0" applyFill="1" applyBorder="1"/>
    <xf numFmtId="0" fontId="0" fillId="2" borderId="33" xfId="0" applyFill="1" applyBorder="1"/>
    <xf numFmtId="0" fontId="10" fillId="7" borderId="34" xfId="0" applyFont="1" applyFill="1" applyBorder="1"/>
    <xf numFmtId="0" fontId="0" fillId="2" borderId="35" xfId="0" applyFill="1" applyBorder="1"/>
    <xf numFmtId="0" fontId="0" fillId="2" borderId="36" xfId="0" applyFill="1" applyBorder="1"/>
    <xf numFmtId="0" fontId="10" fillId="8" borderId="34" xfId="0" applyFont="1" applyFill="1" applyBorder="1"/>
    <xf numFmtId="0" fontId="8" fillId="2" borderId="36" xfId="0" applyFont="1" applyFill="1" applyBorder="1"/>
    <xf numFmtId="0" fontId="10" fillId="3" borderId="37" xfId="0" applyFont="1" applyFill="1" applyBorder="1"/>
    <xf numFmtId="0" fontId="0" fillId="0" borderId="38" xfId="0" applyBorder="1"/>
    <xf numFmtId="0" fontId="10" fillId="5" borderId="9" xfId="0" applyFont="1" applyFill="1" applyBorder="1"/>
    <xf numFmtId="0" fontId="9" fillId="2" borderId="29" xfId="0" applyFont="1" applyFill="1" applyBorder="1"/>
    <xf numFmtId="0" fontId="9" fillId="2" borderId="40" xfId="0" applyFont="1" applyFill="1" applyBorder="1"/>
    <xf numFmtId="0" fontId="0" fillId="2" borderId="40" xfId="0" applyFill="1" applyBorder="1"/>
    <xf numFmtId="0" fontId="9" fillId="2" borderId="41" xfId="0" applyFont="1" applyFill="1" applyBorder="1"/>
    <xf numFmtId="0" fontId="7" fillId="2" borderId="42" xfId="0" applyFont="1" applyFill="1" applyBorder="1"/>
    <xf numFmtId="0" fontId="0" fillId="2" borderId="41" xfId="0" applyFill="1" applyBorder="1"/>
    <xf numFmtId="0" fontId="0" fillId="2" borderId="43" xfId="0" applyFill="1" applyBorder="1"/>
    <xf numFmtId="0" fontId="9" fillId="2" borderId="30" xfId="0" applyFont="1" applyFill="1" applyBorder="1"/>
    <xf numFmtId="0" fontId="6" fillId="2" borderId="27" xfId="0" applyFont="1" applyFill="1" applyBorder="1"/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11" fillId="9" borderId="42" xfId="0" applyFont="1" applyFill="1" applyBorder="1"/>
    <xf numFmtId="0" fontId="10" fillId="4" borderId="43" xfId="0" applyFont="1" applyFill="1" applyBorder="1"/>
    <xf numFmtId="0" fontId="2" fillId="0" borderId="43" xfId="0" applyFont="1" applyBorder="1"/>
    <xf numFmtId="0" fontId="10" fillId="5" borderId="44" xfId="0" applyFont="1" applyFill="1" applyBorder="1"/>
    <xf numFmtId="0" fontId="0" fillId="2" borderId="44" xfId="0" applyFill="1" applyBorder="1"/>
    <xf numFmtId="0" fontId="0" fillId="2" borderId="45" xfId="0" applyFill="1" applyBorder="1"/>
    <xf numFmtId="0" fontId="0" fillId="2" borderId="46" xfId="0" applyFill="1" applyBorder="1"/>
    <xf numFmtId="0" fontId="5" fillId="2" borderId="26" xfId="0" applyFont="1" applyFill="1" applyBorder="1"/>
    <xf numFmtId="0" fontId="0" fillId="2" borderId="28" xfId="0" applyFill="1" applyBorder="1"/>
    <xf numFmtId="0" fontId="6" fillId="2" borderId="47" xfId="0" applyFont="1" applyFill="1" applyBorder="1"/>
    <xf numFmtId="0" fontId="6" fillId="2" borderId="48" xfId="0" applyFont="1" applyFill="1" applyBorder="1"/>
    <xf numFmtId="0" fontId="12" fillId="2" borderId="48" xfId="0" applyFont="1" applyFill="1" applyBorder="1"/>
    <xf numFmtId="0" fontId="5" fillId="2" borderId="49" xfId="0" applyFont="1" applyFill="1" applyBorder="1"/>
    <xf numFmtId="0" fontId="0" fillId="2" borderId="26" xfId="0" applyFill="1" applyBorder="1"/>
    <xf numFmtId="0" fontId="0" fillId="2" borderId="27" xfId="0" applyFill="1" applyBorder="1"/>
    <xf numFmtId="0" fontId="0" fillId="2" borderId="47" xfId="0" applyFill="1" applyBorder="1"/>
    <xf numFmtId="0" fontId="0" fillId="2" borderId="48" xfId="0" applyFill="1" applyBorder="1"/>
    <xf numFmtId="0" fontId="0" fillId="2" borderId="49" xfId="0" applyFill="1" applyBorder="1"/>
    <xf numFmtId="0" fontId="14" fillId="2" borderId="47" xfId="0" applyFont="1" applyFill="1" applyBorder="1"/>
    <xf numFmtId="0" fontId="14" fillId="2" borderId="6" xfId="0" applyFont="1" applyFill="1" applyBorder="1"/>
    <xf numFmtId="0" fontId="15" fillId="0" borderId="0" xfId="0" applyFont="1"/>
    <xf numFmtId="0" fontId="10" fillId="3" borderId="50" xfId="0" applyFont="1" applyFill="1" applyBorder="1"/>
    <xf numFmtId="0" fontId="0" fillId="2" borderId="51" xfId="0" applyFill="1" applyBorder="1"/>
    <xf numFmtId="0" fontId="13" fillId="0" borderId="0" xfId="0" applyFont="1"/>
    <xf numFmtId="0" fontId="7" fillId="2" borderId="6" xfId="0" applyFont="1" applyFill="1" applyBorder="1"/>
    <xf numFmtId="0" fontId="0" fillId="2" borderId="47" xfId="0" applyFont="1" applyFill="1" applyBorder="1"/>
    <xf numFmtId="0" fontId="0" fillId="2" borderId="6" xfId="0" applyFont="1" applyFill="1" applyBorder="1"/>
    <xf numFmtId="0" fontId="11" fillId="2" borderId="52" xfId="0" applyFont="1" applyFill="1" applyBorder="1"/>
    <xf numFmtId="0" fontId="14" fillId="2" borderId="26" xfId="0" applyFont="1" applyFill="1" applyBorder="1"/>
    <xf numFmtId="0" fontId="14" fillId="2" borderId="2" xfId="0" applyFont="1" applyFill="1" applyBorder="1"/>
    <xf numFmtId="0" fontId="16" fillId="2" borderId="28" xfId="0" applyFont="1" applyFill="1" applyBorder="1"/>
    <xf numFmtId="0" fontId="16" fillId="2" borderId="29" xfId="0" applyFont="1" applyFill="1" applyBorder="1"/>
    <xf numFmtId="0" fontId="9" fillId="2" borderId="51" xfId="0" applyFont="1" applyFill="1" applyBorder="1"/>
    <xf numFmtId="0" fontId="0" fillId="0" borderId="0" xfId="0" applyFont="1"/>
    <xf numFmtId="0" fontId="0" fillId="0" borderId="15" xfId="0" applyBorder="1" applyAlignment="1">
      <alignment horizontal="left"/>
    </xf>
    <xf numFmtId="0" fontId="0" fillId="0" borderId="13" xfId="0" applyBorder="1" applyAlignment="1">
      <alignment horizontal="left"/>
    </xf>
    <xf numFmtId="0" fontId="14" fillId="2" borderId="7" xfId="0" applyFont="1" applyFill="1" applyBorder="1"/>
    <xf numFmtId="0" fontId="14" fillId="2" borderId="48" xfId="0" applyFont="1" applyFill="1" applyBorder="1"/>
    <xf numFmtId="0" fontId="17" fillId="2" borderId="3" xfId="0" applyFont="1" applyFill="1" applyBorder="1"/>
    <xf numFmtId="0" fontId="9" fillId="2" borderId="48" xfId="0" applyFont="1" applyFill="1" applyBorder="1"/>
    <xf numFmtId="0" fontId="0" fillId="0" borderId="0" xfId="0" applyFont="1" applyBorder="1"/>
    <xf numFmtId="0" fontId="0" fillId="0" borderId="0" xfId="0" applyBorder="1" applyAlignment="1">
      <alignment horizontal="center"/>
    </xf>
    <xf numFmtId="0" fontId="0" fillId="2" borderId="29" xfId="0" applyFont="1" applyFill="1" applyBorder="1"/>
    <xf numFmtId="0" fontId="0" fillId="2" borderId="7" xfId="0" applyFont="1" applyFill="1" applyBorder="1"/>
    <xf numFmtId="0" fontId="0" fillId="0" borderId="0" xfId="0" applyBorder="1"/>
    <xf numFmtId="0" fontId="0" fillId="2" borderId="0" xfId="0" applyFill="1" applyBorder="1"/>
    <xf numFmtId="0" fontId="0" fillId="0" borderId="21" xfId="0" applyBorder="1"/>
    <xf numFmtId="0" fontId="0" fillId="0" borderId="23" xfId="0" applyBorder="1"/>
    <xf numFmtId="0" fontId="0" fillId="0" borderId="26" xfId="0" applyBorder="1"/>
    <xf numFmtId="0" fontId="0" fillId="0" borderId="28" xfId="0" applyBorder="1"/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54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0" fillId="0" borderId="14" xfId="0" applyBorder="1"/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9" fillId="0" borderId="13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6" xfId="0" applyFont="1" applyBorder="1"/>
    <xf numFmtId="0" fontId="0" fillId="0" borderId="18" xfId="0" applyFont="1" applyBorder="1"/>
    <xf numFmtId="0" fontId="0" fillId="0" borderId="19" xfId="0" applyFont="1" applyBorder="1"/>
    <xf numFmtId="0" fontId="0" fillId="0" borderId="20" xfId="0" applyFont="1" applyBorder="1"/>
    <xf numFmtId="0" fontId="0" fillId="0" borderId="15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13" xfId="0" applyFont="1" applyBorder="1" applyAlignment="1">
      <alignment horizontal="center"/>
    </xf>
    <xf numFmtId="0" fontId="14" fillId="0" borderId="13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6" fillId="0" borderId="0" xfId="0" applyFont="1" applyFill="1" applyBorder="1"/>
    <xf numFmtId="0" fontId="5" fillId="0" borderId="0" xfId="0" applyFont="1" applyFill="1" applyBorder="1"/>
    <xf numFmtId="0" fontId="13" fillId="0" borderId="0" xfId="0" applyFont="1" applyFill="1" applyBorder="1"/>
    <xf numFmtId="0" fontId="0" fillId="0" borderId="0" xfId="0" applyFont="1" applyFill="1" applyBorder="1"/>
    <xf numFmtId="0" fontId="0" fillId="0" borderId="0" xfId="0" applyFill="1" applyBorder="1"/>
    <xf numFmtId="0" fontId="15" fillId="0" borderId="0" xfId="0" applyFont="1" applyFill="1" applyBorder="1"/>
    <xf numFmtId="0" fontId="12" fillId="0" borderId="0" xfId="0" applyFont="1" applyFill="1" applyBorder="1"/>
    <xf numFmtId="0" fontId="0" fillId="0" borderId="22" xfId="0" applyBorder="1"/>
    <xf numFmtId="0" fontId="0" fillId="0" borderId="55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</cellXfs>
  <cellStyles count="2">
    <cellStyle name="Hyperlink" xfId="1" xr:uid="{00000000-0005-0000-0000-000000000000}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3"/>
  <sheetViews>
    <sheetView tabSelected="1" zoomScale="85" zoomScaleNormal="85" zoomScaleSheetLayoutView="115" workbookViewId="0">
      <selection activeCell="E12" sqref="E12"/>
    </sheetView>
  </sheetViews>
  <sheetFormatPr defaultRowHeight="14.5" x14ac:dyDescent="0.35"/>
  <cols>
    <col min="1" max="1" width="20.7265625" customWidth="1"/>
    <col min="2" max="5" width="16.54296875" customWidth="1"/>
    <col min="6" max="13" width="16.54296875" hidden="1" customWidth="1"/>
    <col min="14" max="15" width="16.54296875" customWidth="1"/>
    <col min="16" max="16" width="8.81640625" customWidth="1"/>
  </cols>
  <sheetData>
    <row r="1" spans="1:20" ht="15" thickBot="1" x14ac:dyDescent="0.4">
      <c r="A1" s="1"/>
      <c r="B1" s="1" t="s">
        <v>0</v>
      </c>
      <c r="F1" s="1" t="s">
        <v>1</v>
      </c>
      <c r="J1" s="1" t="s">
        <v>2</v>
      </c>
      <c r="O1" t="s">
        <v>21</v>
      </c>
    </row>
    <row r="2" spans="1:20" x14ac:dyDescent="0.35">
      <c r="A2" s="73" t="s">
        <v>19</v>
      </c>
      <c r="B2" s="119" t="str">
        <f>O10</f>
        <v>T10</v>
      </c>
      <c r="C2" s="179" t="str">
        <f>O21</f>
        <v>T21</v>
      </c>
      <c r="D2" s="179" t="str">
        <f>O28</f>
        <v>T28</v>
      </c>
      <c r="E2" s="120" t="str">
        <f>O35</f>
        <v>T35</v>
      </c>
      <c r="F2" s="66" t="str">
        <f>B5</f>
        <v>T16</v>
      </c>
      <c r="G2" s="63" t="str">
        <f>C3</f>
        <v>T27</v>
      </c>
      <c r="H2" s="63" t="str">
        <f>D4</f>
        <v>T20</v>
      </c>
      <c r="I2" s="67" t="str">
        <f>E4</f>
        <v>T26</v>
      </c>
      <c r="J2" s="63" t="str">
        <f>F5</f>
        <v>T14</v>
      </c>
      <c r="K2" s="64" t="str">
        <f t="shared" ref="K2:L4" si="0">G3</f>
        <v>T19</v>
      </c>
      <c r="L2" s="64" t="str">
        <f t="shared" si="0"/>
        <v>T38</v>
      </c>
      <c r="M2" s="65" t="str">
        <f>I4</f>
        <v>T38</v>
      </c>
      <c r="O2" t="s">
        <v>22</v>
      </c>
      <c r="Q2" s="172"/>
      <c r="R2" s="172"/>
      <c r="S2" s="172"/>
      <c r="T2" s="172"/>
    </row>
    <row r="3" spans="1:20" x14ac:dyDescent="0.35">
      <c r="A3" s="74" t="s">
        <v>14</v>
      </c>
      <c r="B3" s="181" t="str">
        <f>O18</f>
        <v>T18</v>
      </c>
      <c r="C3" s="182" t="str">
        <f>O27</f>
        <v>T27</v>
      </c>
      <c r="D3" s="182" t="str">
        <f>O31</f>
        <v>T31</v>
      </c>
      <c r="E3" s="183" t="str">
        <f>O38</f>
        <v>T38</v>
      </c>
      <c r="F3" s="68" t="str">
        <f>B2</f>
        <v>T10</v>
      </c>
      <c r="G3" s="25" t="str">
        <f>C4</f>
        <v>T19</v>
      </c>
      <c r="H3" s="25" t="str">
        <f>D5</f>
        <v>T38</v>
      </c>
      <c r="I3" s="44" t="str">
        <f>E5</f>
        <v>T39</v>
      </c>
      <c r="J3" s="25" t="str">
        <f>F2</f>
        <v>T16</v>
      </c>
      <c r="K3" s="25" t="str">
        <f t="shared" si="0"/>
        <v>T30</v>
      </c>
      <c r="L3" s="25" t="str">
        <f t="shared" si="0"/>
        <v>T28</v>
      </c>
      <c r="M3" s="44" t="str">
        <f>I5</f>
        <v>T35</v>
      </c>
      <c r="O3" t="s">
        <v>23</v>
      </c>
      <c r="Q3" s="172"/>
      <c r="R3" s="173"/>
      <c r="S3" s="174"/>
      <c r="T3" s="173"/>
    </row>
    <row r="4" spans="1:20" x14ac:dyDescent="0.35">
      <c r="A4" s="75" t="s">
        <v>13</v>
      </c>
      <c r="B4" s="180" t="str">
        <f>O14</f>
        <v>T14</v>
      </c>
      <c r="C4" s="180" t="str">
        <f>O19</f>
        <v>T19</v>
      </c>
      <c r="D4" s="180" t="str">
        <f>O20</f>
        <v>T20</v>
      </c>
      <c r="E4" s="180" t="str">
        <f>O26</f>
        <v>T26</v>
      </c>
      <c r="F4" s="68" t="e">
        <f>#REF!</f>
        <v>#REF!</v>
      </c>
      <c r="G4" s="25" t="str">
        <f>C5</f>
        <v>T30</v>
      </c>
      <c r="H4" s="25" t="str">
        <f>D2</f>
        <v>T28</v>
      </c>
      <c r="I4" s="69" t="str">
        <f>E3</f>
        <v>T38</v>
      </c>
      <c r="J4" s="25" t="str">
        <f>F3</f>
        <v>T10</v>
      </c>
      <c r="K4" s="25" t="str">
        <f t="shared" si="0"/>
        <v>T21</v>
      </c>
      <c r="L4" s="25" t="str">
        <f t="shared" si="0"/>
        <v>T31</v>
      </c>
      <c r="M4" s="44" t="str">
        <f>I3</f>
        <v>T39</v>
      </c>
      <c r="O4" t="s">
        <v>24</v>
      </c>
      <c r="Q4" s="172"/>
      <c r="R4" s="172"/>
      <c r="S4" s="172"/>
      <c r="T4" s="172"/>
    </row>
    <row r="5" spans="1:20" ht="15" thickBot="1" x14ac:dyDescent="0.4">
      <c r="A5" s="76" t="s">
        <v>20</v>
      </c>
      <c r="B5" s="180" t="str">
        <f>O16</f>
        <v>T16</v>
      </c>
      <c r="C5" s="180" t="str">
        <f>O30</f>
        <v>T30</v>
      </c>
      <c r="D5" s="180" t="str">
        <f>O38</f>
        <v>T38</v>
      </c>
      <c r="E5" s="180" t="str">
        <f>O39</f>
        <v>T39</v>
      </c>
      <c r="F5" s="77" t="str">
        <f>B4</f>
        <v>T14</v>
      </c>
      <c r="G5" s="78" t="str">
        <f>C2</f>
        <v>T21</v>
      </c>
      <c r="H5" s="78" t="str">
        <f>D3</f>
        <v>T31</v>
      </c>
      <c r="I5" s="79" t="str">
        <f>E2</f>
        <v>T35</v>
      </c>
      <c r="J5" s="78" t="e">
        <f>F4</f>
        <v>#REF!</v>
      </c>
      <c r="K5" s="78" t="str">
        <f>G2</f>
        <v>T27</v>
      </c>
      <c r="L5" s="78" t="str">
        <f>H2</f>
        <v>T20</v>
      </c>
      <c r="M5" s="79" t="str">
        <f>I2</f>
        <v>T26</v>
      </c>
      <c r="O5" t="s">
        <v>25</v>
      </c>
      <c r="Q5" s="173"/>
      <c r="R5" s="172"/>
      <c r="S5" s="175"/>
      <c r="T5" s="176"/>
    </row>
    <row r="6" spans="1:20" x14ac:dyDescent="0.35">
      <c r="A6" s="17" t="s">
        <v>15</v>
      </c>
      <c r="B6" t="str">
        <f>O2</f>
        <v>T2</v>
      </c>
      <c r="C6" t="str">
        <f>O8</f>
        <v>T8</v>
      </c>
      <c r="D6" s="37" t="str">
        <f>O11</f>
        <v>T11</v>
      </c>
      <c r="E6" s="38" t="str">
        <f>O23</f>
        <v>T23</v>
      </c>
      <c r="F6" s="32" t="str">
        <f>B10</f>
        <v>T1</v>
      </c>
      <c r="G6" s="27" t="str">
        <f>C8</f>
        <v>T32</v>
      </c>
      <c r="H6" s="48" t="str">
        <f>D9</f>
        <v>T24</v>
      </c>
      <c r="I6" s="24" t="str">
        <f>E7</f>
        <v>T34</v>
      </c>
      <c r="J6" s="32" t="str">
        <f>F10</f>
        <v>T3</v>
      </c>
      <c r="K6" s="27" t="str">
        <f t="shared" ref="K6:M9" si="1">G7</f>
        <v>T15</v>
      </c>
      <c r="L6" s="27" t="str">
        <f>H9</f>
        <v>T31</v>
      </c>
      <c r="M6" s="24" t="str">
        <f t="shared" si="1"/>
        <v>T40</v>
      </c>
      <c r="N6" s="12"/>
      <c r="O6" t="s">
        <v>26</v>
      </c>
      <c r="Q6" s="172"/>
      <c r="R6" s="172"/>
      <c r="S6" s="172"/>
      <c r="T6" s="172"/>
    </row>
    <row r="7" spans="1:20" x14ac:dyDescent="0.35">
      <c r="A7" s="18" t="s">
        <v>17</v>
      </c>
      <c r="B7" s="93" t="str">
        <f>O7</f>
        <v>T7</v>
      </c>
      <c r="C7" t="str">
        <f>O9</f>
        <v>T9</v>
      </c>
      <c r="D7" s="40" t="str">
        <f>O31</f>
        <v>T31</v>
      </c>
      <c r="E7" s="41" t="str">
        <f>O34</f>
        <v>T34</v>
      </c>
      <c r="F7" s="28" t="str">
        <f>B6</f>
        <v>T2</v>
      </c>
      <c r="G7" s="25" t="str">
        <f>C9</f>
        <v>T15</v>
      </c>
      <c r="H7" s="25" t="str">
        <f>D10</f>
        <v>T5</v>
      </c>
      <c r="I7" s="33" t="str">
        <f>E8</f>
        <v>T40</v>
      </c>
      <c r="J7" s="28" t="str">
        <f>F6</f>
        <v>T1</v>
      </c>
      <c r="K7" s="25" t="str">
        <f t="shared" si="1"/>
        <v>T4</v>
      </c>
      <c r="L7" s="25" t="str">
        <f>H10</f>
        <v>T37</v>
      </c>
      <c r="M7" s="26" t="str">
        <f t="shared" si="1"/>
        <v>T25</v>
      </c>
      <c r="O7" t="s">
        <v>27</v>
      </c>
      <c r="Q7" s="177"/>
      <c r="R7" s="172"/>
      <c r="S7" s="172"/>
      <c r="T7" s="172"/>
    </row>
    <row r="8" spans="1:20" x14ac:dyDescent="0.35">
      <c r="A8" s="19" t="s">
        <v>18</v>
      </c>
      <c r="B8" s="39" t="str">
        <f>O12</f>
        <v>T12</v>
      </c>
      <c r="C8" s="40" t="str">
        <f>O32</f>
        <v>T32</v>
      </c>
      <c r="D8" s="40" t="str">
        <f>O37</f>
        <v>T37</v>
      </c>
      <c r="E8" s="41" t="str">
        <f>O40</f>
        <v>T40</v>
      </c>
      <c r="F8" s="92" t="str">
        <f>B7</f>
        <v>T7</v>
      </c>
      <c r="G8" s="25" t="str">
        <f>C10</f>
        <v>T4</v>
      </c>
      <c r="H8" s="25" t="str">
        <f>D6</f>
        <v>T11</v>
      </c>
      <c r="I8" s="26" t="str">
        <f>E9</f>
        <v>T25</v>
      </c>
      <c r="J8" s="28" t="str">
        <f>F7</f>
        <v>T2</v>
      </c>
      <c r="K8" s="25" t="str">
        <f t="shared" si="1"/>
        <v>T8</v>
      </c>
      <c r="L8" s="49" t="str">
        <f>H6</f>
        <v>T24</v>
      </c>
      <c r="M8" s="33" t="str">
        <f t="shared" si="1"/>
        <v>T6</v>
      </c>
      <c r="O8" t="s">
        <v>28</v>
      </c>
      <c r="Q8" s="172"/>
      <c r="R8" s="172"/>
      <c r="S8" s="172"/>
      <c r="T8" s="172"/>
    </row>
    <row r="9" spans="1:20" ht="15" thickBot="1" x14ac:dyDescent="0.4">
      <c r="A9" s="94" t="s">
        <v>16</v>
      </c>
      <c r="B9" s="82" t="str">
        <f>O3</f>
        <v>T3</v>
      </c>
      <c r="C9" s="83" t="str">
        <f>O15</f>
        <v>T15</v>
      </c>
      <c r="D9" s="84" t="str">
        <f>O24</f>
        <v>T24</v>
      </c>
      <c r="E9" s="85" t="str">
        <f>O25</f>
        <v>T25</v>
      </c>
      <c r="F9" s="88" t="str">
        <f>B8</f>
        <v>T12</v>
      </c>
      <c r="G9" s="89" t="str">
        <f>C6</f>
        <v>T8</v>
      </c>
      <c r="H9" s="89" t="str">
        <f>D7</f>
        <v>T31</v>
      </c>
      <c r="I9" s="90" t="str">
        <f>E10</f>
        <v>T6</v>
      </c>
      <c r="J9" s="91" t="str">
        <f>F8</f>
        <v>T7</v>
      </c>
      <c r="K9" s="89" t="str">
        <f t="shared" si="1"/>
        <v>T9</v>
      </c>
      <c r="L9" s="89" t="str">
        <f>H7</f>
        <v>T5</v>
      </c>
      <c r="M9" s="90" t="str">
        <f t="shared" si="1"/>
        <v>T23</v>
      </c>
      <c r="O9" t="s">
        <v>29</v>
      </c>
      <c r="Q9" s="172"/>
      <c r="R9" s="172"/>
      <c r="S9" s="178"/>
      <c r="T9" s="173"/>
    </row>
    <row r="10" spans="1:20" ht="15" thickBot="1" x14ac:dyDescent="0.4">
      <c r="A10" s="100" t="s">
        <v>9</v>
      </c>
      <c r="B10" s="80" t="str">
        <f>O1</f>
        <v>T1</v>
      </c>
      <c r="C10" s="70" t="str">
        <f>O4</f>
        <v>T4</v>
      </c>
      <c r="D10" s="70" t="str">
        <f>O5</f>
        <v>T5</v>
      </c>
      <c r="E10" s="81" t="str">
        <f>O6</f>
        <v>T6</v>
      </c>
      <c r="F10" s="86" t="str">
        <f>B9</f>
        <v>T3</v>
      </c>
      <c r="G10" s="87" t="str">
        <f>C7</f>
        <v>T9</v>
      </c>
      <c r="H10" s="87" t="str">
        <f>D8</f>
        <v>T37</v>
      </c>
      <c r="I10" s="81" t="str">
        <f>E6</f>
        <v>T23</v>
      </c>
      <c r="J10" s="87" t="str">
        <f>F9</f>
        <v>T12</v>
      </c>
      <c r="K10" s="87" t="str">
        <f>G6</f>
        <v>T32</v>
      </c>
      <c r="L10" s="87" t="str">
        <f>H8</f>
        <v>T11</v>
      </c>
      <c r="M10" s="81" t="str">
        <f>I6</f>
        <v>T34</v>
      </c>
      <c r="O10" t="s">
        <v>30</v>
      </c>
      <c r="Q10" s="173"/>
      <c r="R10" s="172"/>
      <c r="S10" s="172"/>
      <c r="T10" s="176"/>
    </row>
    <row r="11" spans="1:20" x14ac:dyDescent="0.35">
      <c r="A11" s="43"/>
      <c r="B11" s="12" t="str">
        <f>O13</f>
        <v>T13</v>
      </c>
      <c r="C11" s="12" t="str">
        <f>O17</f>
        <v>T17</v>
      </c>
      <c r="D11" s="12" t="str">
        <f>O22</f>
        <v>T22</v>
      </c>
      <c r="E11" s="12" t="str">
        <f>O29</f>
        <v>T29</v>
      </c>
      <c r="F11" s="12"/>
      <c r="G11" s="12"/>
      <c r="H11" s="12"/>
      <c r="I11" s="12"/>
      <c r="J11" s="12"/>
      <c r="K11" s="12"/>
      <c r="L11" s="12"/>
      <c r="M11" s="12"/>
      <c r="O11" t="s">
        <v>31</v>
      </c>
    </row>
    <row r="12" spans="1:20" ht="15" thickBot="1" x14ac:dyDescent="0.4">
      <c r="A12" s="43"/>
      <c r="B12" s="43" t="s">
        <v>3</v>
      </c>
      <c r="C12" s="12"/>
      <c r="D12" s="12"/>
      <c r="E12" s="12"/>
      <c r="F12" s="43" t="s">
        <v>4</v>
      </c>
      <c r="G12" s="12"/>
      <c r="H12" s="12"/>
      <c r="I12" s="12"/>
      <c r="J12" s="12"/>
      <c r="K12" s="12"/>
      <c r="L12" s="12"/>
      <c r="M12" s="12"/>
      <c r="O12" t="s">
        <v>32</v>
      </c>
    </row>
    <row r="13" spans="1:20" ht="15" customHeight="1" x14ac:dyDescent="0.35">
      <c r="A13" s="21" t="str">
        <f>A2</f>
        <v>Salty potato in the hole</v>
      </c>
      <c r="B13" s="32" t="e">
        <f>#REF!</f>
        <v>#REF!</v>
      </c>
      <c r="C13" s="27" t="str">
        <f>C5</f>
        <v>T30</v>
      </c>
      <c r="D13" s="27" t="str">
        <f>L4</f>
        <v>T31</v>
      </c>
      <c r="E13" s="24" t="str">
        <f>E5</f>
        <v>T39</v>
      </c>
      <c r="F13" s="123" t="s">
        <v>12</v>
      </c>
      <c r="G13" s="124"/>
      <c r="H13" s="124"/>
      <c r="I13" s="125"/>
      <c r="J13" s="12"/>
      <c r="K13" s="12"/>
      <c r="L13" s="12"/>
      <c r="M13" s="12"/>
      <c r="O13" t="s">
        <v>33</v>
      </c>
    </row>
    <row r="14" spans="1:20" ht="15" customHeight="1" x14ac:dyDescent="0.35">
      <c r="A14" s="22" t="str">
        <f>A3</f>
        <v>Pony Polo</v>
      </c>
      <c r="B14" s="34" t="str">
        <f>B4</f>
        <v>T14</v>
      </c>
      <c r="C14" s="25" t="str">
        <f>C2</f>
        <v>T21</v>
      </c>
      <c r="D14" s="25" t="str">
        <f>L5</f>
        <v>T20</v>
      </c>
      <c r="E14" s="26" t="str">
        <f>E4</f>
        <v>T26</v>
      </c>
      <c r="F14" s="126"/>
      <c r="G14" s="127"/>
      <c r="H14" s="127"/>
      <c r="I14" s="128"/>
      <c r="J14" s="12"/>
      <c r="K14" s="12"/>
      <c r="L14" s="12"/>
      <c r="M14" s="12"/>
      <c r="O14" t="s">
        <v>34</v>
      </c>
    </row>
    <row r="15" spans="1:20" ht="15" customHeight="1" x14ac:dyDescent="0.35">
      <c r="A15" s="2" t="str">
        <f>A4</f>
        <v>Straat van Hormuz</v>
      </c>
      <c r="B15" s="28" t="str">
        <f>B5</f>
        <v>T16</v>
      </c>
      <c r="C15" s="35" t="str">
        <f>C3</f>
        <v>T27</v>
      </c>
      <c r="D15" s="25" t="str">
        <f>L2</f>
        <v>T38</v>
      </c>
      <c r="E15" s="26" t="str">
        <f>E2</f>
        <v>T35</v>
      </c>
      <c r="F15" s="126"/>
      <c r="G15" s="127"/>
      <c r="H15" s="127"/>
      <c r="I15" s="128"/>
      <c r="J15" s="12"/>
      <c r="K15" s="12"/>
      <c r="L15" s="12"/>
      <c r="M15" s="12"/>
      <c r="O15" t="s">
        <v>35</v>
      </c>
    </row>
    <row r="16" spans="1:20" ht="15.75" customHeight="1" thickBot="1" x14ac:dyDescent="0.4">
      <c r="A16" s="16" t="str">
        <f>A5</f>
        <v>Red Claes Compaen</v>
      </c>
      <c r="B16" s="29" t="str">
        <f>B2</f>
        <v>T10</v>
      </c>
      <c r="C16" s="30" t="str">
        <f>C4</f>
        <v>T19</v>
      </c>
      <c r="D16" s="30" t="str">
        <f>D2</f>
        <v>T28</v>
      </c>
      <c r="E16" s="31" t="str">
        <f>E3</f>
        <v>T38</v>
      </c>
      <c r="F16" s="129"/>
      <c r="G16" s="130"/>
      <c r="H16" s="130"/>
      <c r="I16" s="131"/>
      <c r="J16" s="12"/>
      <c r="K16" s="12"/>
      <c r="L16" s="12"/>
      <c r="M16" s="12"/>
      <c r="O16" t="s">
        <v>36</v>
      </c>
    </row>
    <row r="17" spans="1:15" ht="15" customHeight="1" x14ac:dyDescent="0.35">
      <c r="A17" s="17" t="str">
        <f>A6</f>
        <v>Nick’s Weekendspecial</v>
      </c>
      <c r="B17" s="32" t="str">
        <f>B8</f>
        <v>T12</v>
      </c>
      <c r="C17" s="27" t="str">
        <f>C10</f>
        <v>T4</v>
      </c>
      <c r="D17" s="27" t="str">
        <f>D10</f>
        <v>T5</v>
      </c>
      <c r="E17" s="104" t="str">
        <f>E9</f>
        <v>T25</v>
      </c>
      <c r="F17" s="102" t="str">
        <f>B21</f>
        <v>T7</v>
      </c>
      <c r="G17" s="27" t="str">
        <f>C19</f>
        <v>T9</v>
      </c>
      <c r="H17" s="27" t="str">
        <f>D20</f>
        <v>T37</v>
      </c>
      <c r="I17" s="62" t="str">
        <f>I9</f>
        <v>T6</v>
      </c>
      <c r="J17" s="12"/>
      <c r="K17" s="12"/>
      <c r="L17" s="12"/>
      <c r="M17" s="12"/>
      <c r="O17" t="s">
        <v>37</v>
      </c>
    </row>
    <row r="18" spans="1:15" ht="15" customHeight="1" x14ac:dyDescent="0.35">
      <c r="A18" s="18" t="str">
        <f>A7</f>
        <v>Danoontje Powerrrrrr</v>
      </c>
      <c r="B18" s="28" t="str">
        <f>B9</f>
        <v>T3</v>
      </c>
      <c r="C18" s="25" t="str">
        <f>C6</f>
        <v>T8</v>
      </c>
      <c r="D18" s="49" t="str">
        <f>D6</f>
        <v>T11</v>
      </c>
      <c r="E18" s="44" t="str">
        <f>E10</f>
        <v>T6</v>
      </c>
      <c r="F18" s="28" t="str">
        <f>B17</f>
        <v>T12</v>
      </c>
      <c r="G18" s="35" t="str">
        <f>C20</f>
        <v>T32</v>
      </c>
      <c r="H18" s="49" t="str">
        <f>D21</f>
        <v>T24</v>
      </c>
      <c r="I18" s="44" t="str">
        <f>E19</f>
        <v>T23</v>
      </c>
      <c r="J18" s="12"/>
      <c r="K18" s="12"/>
      <c r="L18" s="12"/>
      <c r="M18" s="12"/>
      <c r="O18" t="s">
        <v>38</v>
      </c>
    </row>
    <row r="19" spans="1:15" ht="15" customHeight="1" x14ac:dyDescent="0.35">
      <c r="A19" s="19" t="str">
        <f>A8</f>
        <v>Kamelenrace</v>
      </c>
      <c r="B19" s="28" t="str">
        <f>B10</f>
        <v>T1</v>
      </c>
      <c r="C19" s="25" t="str">
        <f>C7</f>
        <v>T9</v>
      </c>
      <c r="D19" s="25" t="str">
        <f>D7</f>
        <v>T31</v>
      </c>
      <c r="E19" s="44" t="str">
        <f>E6</f>
        <v>T23</v>
      </c>
      <c r="F19" s="28" t="str">
        <f>B18</f>
        <v>T3</v>
      </c>
      <c r="G19" s="25" t="str">
        <f>C21</f>
        <v>T15</v>
      </c>
      <c r="H19" s="25" t="str">
        <f>H7</f>
        <v>T5</v>
      </c>
      <c r="I19" s="44" t="str">
        <f>I6</f>
        <v>T34</v>
      </c>
      <c r="J19" s="12"/>
      <c r="K19" s="12"/>
      <c r="L19" s="12"/>
      <c r="M19" s="12"/>
      <c r="O19" t="s">
        <v>39</v>
      </c>
    </row>
    <row r="20" spans="1:15" ht="15.75" customHeight="1" thickBot="1" x14ac:dyDescent="0.4">
      <c r="A20" s="94" t="str">
        <f>A9</f>
        <v>Memory Romy</v>
      </c>
      <c r="B20" s="88" t="str">
        <f>B6</f>
        <v>T2</v>
      </c>
      <c r="C20" s="89" t="str">
        <f>C8</f>
        <v>T32</v>
      </c>
      <c r="D20" s="89" t="str">
        <f>D8</f>
        <v>T37</v>
      </c>
      <c r="E20" s="95" t="str">
        <f>E7</f>
        <v>T34</v>
      </c>
      <c r="F20" s="88" t="str">
        <f>B19</f>
        <v>T1</v>
      </c>
      <c r="G20" s="89" t="str">
        <f>C17</f>
        <v>T4</v>
      </c>
      <c r="H20" s="89" t="str">
        <f>D18</f>
        <v>T11</v>
      </c>
      <c r="I20" s="95" t="str">
        <f>I7</f>
        <v>T40</v>
      </c>
      <c r="J20" s="12"/>
      <c r="K20" s="12"/>
      <c r="L20" s="12"/>
      <c r="M20" s="12"/>
      <c r="O20" t="s">
        <v>40</v>
      </c>
    </row>
    <row r="21" spans="1:15" ht="15" customHeight="1" thickBot="1" x14ac:dyDescent="0.4">
      <c r="A21" s="100" t="s">
        <v>9</v>
      </c>
      <c r="B21" s="101" t="str">
        <f>B7</f>
        <v>T7</v>
      </c>
      <c r="C21" s="87" t="str">
        <f>C9</f>
        <v>T15</v>
      </c>
      <c r="D21" s="87" t="str">
        <f>D9</f>
        <v>T24</v>
      </c>
      <c r="E21" s="81" t="str">
        <f>E8</f>
        <v>T40</v>
      </c>
      <c r="F21" s="86" t="str">
        <f>B20</f>
        <v>T2</v>
      </c>
      <c r="G21" s="87" t="str">
        <f>C18</f>
        <v>T8</v>
      </c>
      <c r="H21" s="87" t="str">
        <f>D19</f>
        <v>T31</v>
      </c>
      <c r="I21" s="103" t="str">
        <f>E17</f>
        <v>T25</v>
      </c>
      <c r="J21" s="12"/>
      <c r="K21" s="12"/>
      <c r="L21" s="12"/>
      <c r="M21" s="12"/>
      <c r="O21" t="s">
        <v>41</v>
      </c>
    </row>
    <row r="22" spans="1:15" x14ac:dyDescent="0.35">
      <c r="A22" s="43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O22" t="s">
        <v>42</v>
      </c>
    </row>
    <row r="23" spans="1:15" ht="15" thickBot="1" x14ac:dyDescent="0.4">
      <c r="A23" s="43"/>
      <c r="B23" s="43" t="s">
        <v>5</v>
      </c>
      <c r="C23" s="12"/>
      <c r="D23" s="12"/>
      <c r="E23" s="12"/>
      <c r="F23" s="43" t="s">
        <v>6</v>
      </c>
      <c r="G23" s="12"/>
      <c r="H23" s="12"/>
      <c r="I23" s="12"/>
      <c r="J23" s="43" t="s">
        <v>7</v>
      </c>
      <c r="K23" s="12"/>
      <c r="L23" s="12"/>
      <c r="M23" s="12"/>
      <c r="O23" t="s">
        <v>43</v>
      </c>
    </row>
    <row r="24" spans="1:15" x14ac:dyDescent="0.35">
      <c r="A24" s="21" t="str">
        <f>A2</f>
        <v>Salty potato in the hole</v>
      </c>
      <c r="B24" s="36" t="str">
        <f>B20</f>
        <v>T2</v>
      </c>
      <c r="C24" s="111" t="str">
        <f>B21</f>
        <v>T7</v>
      </c>
      <c r="D24" s="37" t="str">
        <f>B17</f>
        <v>T12</v>
      </c>
      <c r="E24" s="38" t="str">
        <f>B18</f>
        <v>T3</v>
      </c>
      <c r="F24" s="32" t="str">
        <f>B28</f>
        <v>T34</v>
      </c>
      <c r="G24" s="27" t="str">
        <f>C26</f>
        <v>T4</v>
      </c>
      <c r="H24" s="48" t="str">
        <f>D27</f>
        <v>T5</v>
      </c>
      <c r="I24" s="24" t="str">
        <f>E25</f>
        <v>T32</v>
      </c>
      <c r="J24" s="32" t="str">
        <f>F28</f>
        <v>T37</v>
      </c>
      <c r="K24" s="27" t="str">
        <f t="shared" ref="K24:K26" si="2">G25</f>
        <v>T24</v>
      </c>
      <c r="L24" s="27" t="str">
        <f>H27</f>
        <v>T9</v>
      </c>
      <c r="M24" s="24" t="str">
        <f t="shared" ref="M24:M26" si="3">I25</f>
        <v>T31</v>
      </c>
      <c r="O24" t="s">
        <v>44</v>
      </c>
    </row>
    <row r="25" spans="1:15" x14ac:dyDescent="0.35">
      <c r="A25" s="22" t="str">
        <f>A14</f>
        <v>Pony Polo</v>
      </c>
      <c r="B25" s="96" t="str">
        <f>B19</f>
        <v>T1</v>
      </c>
      <c r="C25" s="40" t="str">
        <f>C18</f>
        <v>T8</v>
      </c>
      <c r="D25" s="40" t="str">
        <f>C19</f>
        <v>T9</v>
      </c>
      <c r="E25" s="41" t="str">
        <f>C20</f>
        <v>T32</v>
      </c>
      <c r="F25" s="28" t="str">
        <f>B24</f>
        <v>T2</v>
      </c>
      <c r="G25" s="25" t="str">
        <f>C27</f>
        <v>T24</v>
      </c>
      <c r="H25" s="25" t="str">
        <f>D28</f>
        <v>T25</v>
      </c>
      <c r="I25" s="33" t="str">
        <f>E26</f>
        <v>T31</v>
      </c>
      <c r="J25" s="97" t="str">
        <f>F24</f>
        <v>T34</v>
      </c>
      <c r="K25" s="25" t="str">
        <f t="shared" si="2"/>
        <v>T40</v>
      </c>
      <c r="L25" s="25" t="str">
        <f>H28</f>
        <v>T11</v>
      </c>
      <c r="M25" s="26" t="str">
        <f t="shared" si="3"/>
        <v>T23</v>
      </c>
      <c r="O25" t="s">
        <v>45</v>
      </c>
    </row>
    <row r="26" spans="1:15" x14ac:dyDescent="0.35">
      <c r="A26" s="2" t="str">
        <f>A15</f>
        <v>Straat van Hormuz</v>
      </c>
      <c r="B26" s="39" t="str">
        <f>C21</f>
        <v>T15</v>
      </c>
      <c r="C26" s="40" t="str">
        <f>C17</f>
        <v>T4</v>
      </c>
      <c r="D26" s="40" t="str">
        <f>D18</f>
        <v>T11</v>
      </c>
      <c r="E26" s="41" t="str">
        <f>D19</f>
        <v>T31</v>
      </c>
      <c r="F26" s="99" t="str">
        <f>B25</f>
        <v>T1</v>
      </c>
      <c r="G26" s="25" t="str">
        <f>C28</f>
        <v>T40</v>
      </c>
      <c r="H26" s="25" t="str">
        <f>D24</f>
        <v>T12</v>
      </c>
      <c r="I26" s="26" t="str">
        <f>E27</f>
        <v>T23</v>
      </c>
      <c r="J26" s="28" t="str">
        <f>F25</f>
        <v>T2</v>
      </c>
      <c r="K26" s="109" t="str">
        <f t="shared" si="2"/>
        <v>T7</v>
      </c>
      <c r="L26" s="49" t="str">
        <f>H24</f>
        <v>T5</v>
      </c>
      <c r="M26" s="33" t="str">
        <f t="shared" si="3"/>
        <v>T6</v>
      </c>
      <c r="O26" t="s">
        <v>46</v>
      </c>
    </row>
    <row r="27" spans="1:15" ht="15" thickBot="1" x14ac:dyDescent="0.4">
      <c r="A27" s="16" t="str">
        <f>A16</f>
        <v>Red Claes Compaen</v>
      </c>
      <c r="B27" s="82" t="str">
        <f>D20</f>
        <v>T37</v>
      </c>
      <c r="C27" s="83" t="str">
        <f>D21</f>
        <v>T24</v>
      </c>
      <c r="D27" s="84" t="str">
        <f>D17</f>
        <v>T5</v>
      </c>
      <c r="E27" s="85" t="str">
        <f>E19</f>
        <v>T23</v>
      </c>
      <c r="F27" s="88" t="str">
        <f>B26</f>
        <v>T15</v>
      </c>
      <c r="G27" s="110" t="str">
        <f>C24</f>
        <v>T7</v>
      </c>
      <c r="H27" s="89" t="str">
        <f>D25</f>
        <v>T9</v>
      </c>
      <c r="I27" s="90" t="str">
        <f>E28</f>
        <v>T6</v>
      </c>
      <c r="J27" s="98" t="str">
        <f>F26</f>
        <v>T1</v>
      </c>
      <c r="K27" s="89" t="str">
        <f>G28</f>
        <v>T8</v>
      </c>
      <c r="L27" s="112" t="str">
        <f>H25</f>
        <v>T25</v>
      </c>
      <c r="M27" s="90" t="str">
        <f>I28</f>
        <v>T3</v>
      </c>
      <c r="O27" t="s">
        <v>47</v>
      </c>
    </row>
    <row r="28" spans="1:15" ht="15" thickBot="1" x14ac:dyDescent="0.4">
      <c r="A28" s="100" t="s">
        <v>9</v>
      </c>
      <c r="B28" s="80" t="str">
        <f>E20</f>
        <v>T34</v>
      </c>
      <c r="C28" s="70" t="str">
        <f>E21</f>
        <v>T40</v>
      </c>
      <c r="D28" s="70" t="str">
        <f>E17</f>
        <v>T25</v>
      </c>
      <c r="E28" s="81" t="str">
        <f>E18</f>
        <v>T6</v>
      </c>
      <c r="F28" s="86" t="str">
        <f>B27</f>
        <v>T37</v>
      </c>
      <c r="G28" s="87" t="str">
        <f>C25</f>
        <v>T8</v>
      </c>
      <c r="H28" s="87" t="str">
        <f>D26</f>
        <v>T11</v>
      </c>
      <c r="I28" s="81" t="str">
        <f>E24</f>
        <v>T3</v>
      </c>
      <c r="J28" s="87" t="str">
        <f>F27</f>
        <v>T15</v>
      </c>
      <c r="K28" s="87" t="str">
        <f>G24</f>
        <v>T4</v>
      </c>
      <c r="L28" s="87" t="str">
        <f>H26</f>
        <v>T12</v>
      </c>
      <c r="M28" s="81" t="str">
        <f>I24</f>
        <v>T32</v>
      </c>
      <c r="O28" t="s">
        <v>48</v>
      </c>
    </row>
    <row r="29" spans="1:15" x14ac:dyDescent="0.35">
      <c r="A29" s="17" t="str">
        <f>A17</f>
        <v>Nick’s Weekendspecial</v>
      </c>
      <c r="B29" s="32" t="str">
        <f>B16</f>
        <v>T10</v>
      </c>
      <c r="C29" s="27" t="str">
        <f>C15</f>
        <v>T27</v>
      </c>
      <c r="D29" s="27" t="str">
        <f>D14</f>
        <v>T20</v>
      </c>
      <c r="E29" s="42" t="str">
        <f>E16</f>
        <v>T38</v>
      </c>
      <c r="F29" s="32" t="str">
        <f>B32</f>
        <v>T14</v>
      </c>
      <c r="G29" s="27" t="str">
        <f>C30</f>
        <v>T19</v>
      </c>
      <c r="H29" s="27" t="str">
        <f>D32</f>
        <v>T31</v>
      </c>
      <c r="I29" s="24" t="str">
        <f>E31</f>
        <v>T26</v>
      </c>
      <c r="J29" s="32" t="e">
        <f>F32</f>
        <v>#REF!</v>
      </c>
      <c r="K29" s="27" t="str">
        <f>G30</f>
        <v>T21</v>
      </c>
      <c r="L29" s="27" t="str">
        <f>H32</f>
        <v>T38</v>
      </c>
      <c r="M29" s="24" t="str">
        <f>I31</f>
        <v>T39</v>
      </c>
      <c r="O29" t="s">
        <v>49</v>
      </c>
    </row>
    <row r="30" spans="1:15" x14ac:dyDescent="0.35">
      <c r="A30" s="18" t="str">
        <f>A18</f>
        <v>Danoontje Powerrrrrr</v>
      </c>
      <c r="B30" s="28" t="str">
        <f>B15</f>
        <v>T16</v>
      </c>
      <c r="C30" s="25" t="str">
        <f>C16</f>
        <v>T19</v>
      </c>
      <c r="D30" s="25" t="str">
        <f>D15</f>
        <v>T38</v>
      </c>
      <c r="E30" s="26" t="str">
        <f>E13</f>
        <v>T39</v>
      </c>
      <c r="F30" s="28" t="str">
        <f>B29</f>
        <v>T10</v>
      </c>
      <c r="G30" s="25" t="str">
        <f>C31</f>
        <v>T21</v>
      </c>
      <c r="H30" s="25" t="str">
        <f>D31</f>
        <v>T28</v>
      </c>
      <c r="I30" s="26" t="str">
        <f>E32</f>
        <v>T35</v>
      </c>
      <c r="J30" s="28" t="str">
        <f>F29</f>
        <v>T14</v>
      </c>
      <c r="K30" s="25" t="str">
        <f>G31</f>
        <v>T30</v>
      </c>
      <c r="L30" s="25" t="str">
        <f>H31</f>
        <v>T20</v>
      </c>
      <c r="M30" s="47" t="str">
        <f>I32</f>
        <v>T38</v>
      </c>
      <c r="O30" t="s">
        <v>50</v>
      </c>
    </row>
    <row r="31" spans="1:15" x14ac:dyDescent="0.35">
      <c r="A31" s="19" t="str">
        <f>A19</f>
        <v>Kamelenrace</v>
      </c>
      <c r="B31" s="28" t="e">
        <f>B13</f>
        <v>#REF!</v>
      </c>
      <c r="C31" s="25" t="str">
        <f>C14</f>
        <v>T21</v>
      </c>
      <c r="D31" s="25" t="str">
        <f>D16</f>
        <v>T28</v>
      </c>
      <c r="E31" s="26" t="str">
        <f>E14</f>
        <v>T26</v>
      </c>
      <c r="F31" s="28" t="str">
        <f>B30</f>
        <v>T16</v>
      </c>
      <c r="G31" s="25" t="str">
        <f>C32</f>
        <v>T30</v>
      </c>
      <c r="H31" s="25" t="str">
        <f>D29</f>
        <v>T20</v>
      </c>
      <c r="I31" s="26" t="str">
        <f>E30</f>
        <v>T39</v>
      </c>
      <c r="J31" s="28" t="str">
        <f>F30</f>
        <v>T10</v>
      </c>
      <c r="K31" s="25" t="str">
        <f>G32</f>
        <v>T27</v>
      </c>
      <c r="L31" s="25" t="str">
        <f>H29</f>
        <v>T31</v>
      </c>
      <c r="M31" s="26" t="str">
        <f>I30</f>
        <v>T35</v>
      </c>
      <c r="O31" t="s">
        <v>51</v>
      </c>
    </row>
    <row r="32" spans="1:15" ht="15" thickBot="1" x14ac:dyDescent="0.4">
      <c r="A32" s="20" t="str">
        <f>A20</f>
        <v>Memory Romy</v>
      </c>
      <c r="B32" s="29" t="str">
        <f>B14</f>
        <v>T14</v>
      </c>
      <c r="C32" s="30" t="str">
        <f>C13</f>
        <v>T30</v>
      </c>
      <c r="D32" s="30" t="str">
        <f>D13</f>
        <v>T31</v>
      </c>
      <c r="E32" s="31" t="str">
        <f>E15</f>
        <v>T35</v>
      </c>
      <c r="F32" s="45" t="e">
        <f>B31</f>
        <v>#REF!</v>
      </c>
      <c r="G32" s="46" t="str">
        <f>C29</f>
        <v>T27</v>
      </c>
      <c r="H32" s="30" t="str">
        <f>D30</f>
        <v>T38</v>
      </c>
      <c r="I32" s="50" t="str">
        <f>E29</f>
        <v>T38</v>
      </c>
      <c r="J32" s="29" t="str">
        <f>F31</f>
        <v>T16</v>
      </c>
      <c r="K32" s="30" t="str">
        <f>G29</f>
        <v>T19</v>
      </c>
      <c r="L32" s="30" t="str">
        <f>H30</f>
        <v>T28</v>
      </c>
      <c r="M32" s="31" t="str">
        <f>I29</f>
        <v>T26</v>
      </c>
      <c r="O32" t="s">
        <v>52</v>
      </c>
    </row>
    <row r="33" spans="1:15" x14ac:dyDescent="0.35">
      <c r="A33" s="1"/>
      <c r="O33" t="s">
        <v>53</v>
      </c>
    </row>
    <row r="34" spans="1:15" ht="15" thickBot="1" x14ac:dyDescent="0.4">
      <c r="A34" s="1"/>
      <c r="B34" s="1" t="s">
        <v>8</v>
      </c>
      <c r="F34" s="1" t="s">
        <v>10</v>
      </c>
      <c r="O34" t="s">
        <v>54</v>
      </c>
    </row>
    <row r="35" spans="1:15" x14ac:dyDescent="0.35">
      <c r="A35" s="21" t="str">
        <f>A24</f>
        <v>Salty potato in the hole</v>
      </c>
      <c r="B35" s="32" t="str">
        <f>B26</f>
        <v>T15</v>
      </c>
      <c r="C35" s="27" t="str">
        <f>C28</f>
        <v>T40</v>
      </c>
      <c r="D35" s="27" t="str">
        <f>D28</f>
        <v>T25</v>
      </c>
      <c r="E35" s="62" t="str">
        <f>E27</f>
        <v>T23</v>
      </c>
      <c r="F35" s="32" t="str">
        <f>B39</f>
        <v>T1</v>
      </c>
      <c r="G35" s="27" t="str">
        <f>C37</f>
        <v>T8</v>
      </c>
      <c r="H35" s="27" t="str">
        <f>D38</f>
        <v>T11</v>
      </c>
      <c r="I35" s="115" t="str">
        <f>E36</f>
        <v>T6</v>
      </c>
      <c r="O35" t="s">
        <v>55</v>
      </c>
    </row>
    <row r="36" spans="1:15" x14ac:dyDescent="0.35">
      <c r="A36" s="15" t="str">
        <f>A25</f>
        <v>Pony Polo</v>
      </c>
      <c r="B36" s="28" t="str">
        <f>B27</f>
        <v>T37</v>
      </c>
      <c r="C36" s="109" t="str">
        <f t="shared" ref="C36:D39" si="4">C24</f>
        <v>T7</v>
      </c>
      <c r="D36" s="49" t="str">
        <f t="shared" si="4"/>
        <v>T12</v>
      </c>
      <c r="E36" s="44" t="str">
        <f>E28</f>
        <v>T6</v>
      </c>
      <c r="F36" s="28" t="str">
        <f>B35</f>
        <v>T15</v>
      </c>
      <c r="G36" s="25" t="str">
        <f>C38</f>
        <v>T4</v>
      </c>
      <c r="H36" s="49" t="str">
        <f>D39</f>
        <v>T5</v>
      </c>
      <c r="I36" s="44" t="str">
        <f>E37</f>
        <v>T3</v>
      </c>
      <c r="O36" t="s">
        <v>56</v>
      </c>
    </row>
    <row r="37" spans="1:15" x14ac:dyDescent="0.35">
      <c r="A37" s="2" t="str">
        <f>A26</f>
        <v>Straat van Hormuz</v>
      </c>
      <c r="B37" s="28" t="str">
        <f>B28</f>
        <v>T34</v>
      </c>
      <c r="C37" s="25" t="str">
        <f t="shared" si="4"/>
        <v>T8</v>
      </c>
      <c r="D37" s="25" t="str">
        <f t="shared" si="4"/>
        <v>T9</v>
      </c>
      <c r="E37" s="44" t="str">
        <f>E24</f>
        <v>T3</v>
      </c>
      <c r="F37" s="28" t="str">
        <f>B36</f>
        <v>T37</v>
      </c>
      <c r="G37" s="116" t="str">
        <f>C39</f>
        <v>T24</v>
      </c>
      <c r="H37" s="35" t="str">
        <f>D35</f>
        <v>T25</v>
      </c>
      <c r="I37" s="69" t="str">
        <f>E38</f>
        <v>T32</v>
      </c>
      <c r="O37" t="s">
        <v>57</v>
      </c>
    </row>
    <row r="38" spans="1:15" ht="15" thickBot="1" x14ac:dyDescent="0.4">
      <c r="A38" s="61" t="str">
        <f>A27</f>
        <v>Red Claes Compaen</v>
      </c>
      <c r="B38" s="88" t="str">
        <f>B24</f>
        <v>T2</v>
      </c>
      <c r="C38" s="89" t="str">
        <f t="shared" si="4"/>
        <v>T4</v>
      </c>
      <c r="D38" s="89" t="str">
        <f t="shared" si="4"/>
        <v>T11</v>
      </c>
      <c r="E38" s="105" t="str">
        <f>E25</f>
        <v>T32</v>
      </c>
      <c r="F38" s="88" t="str">
        <f>B37</f>
        <v>T34</v>
      </c>
      <c r="G38" s="110" t="str">
        <f>C36</f>
        <v>T7</v>
      </c>
      <c r="H38" s="89" t="str">
        <f>D36</f>
        <v>T12</v>
      </c>
      <c r="I38" s="95" t="str">
        <f>E39</f>
        <v>T31</v>
      </c>
      <c r="O38" t="s">
        <v>58</v>
      </c>
    </row>
    <row r="39" spans="1:15" ht="15" thickBot="1" x14ac:dyDescent="0.4">
      <c r="A39" s="100" t="s">
        <v>9</v>
      </c>
      <c r="B39" s="86" t="str">
        <f>B25</f>
        <v>T1</v>
      </c>
      <c r="C39" s="87" t="str">
        <f t="shared" si="4"/>
        <v>T24</v>
      </c>
      <c r="D39" s="87" t="str">
        <f t="shared" si="4"/>
        <v>T5</v>
      </c>
      <c r="E39" s="81" t="str">
        <f>E26</f>
        <v>T31</v>
      </c>
      <c r="F39" s="86" t="str">
        <f>B38</f>
        <v>T2</v>
      </c>
      <c r="G39" s="87" t="str">
        <f>C35</f>
        <v>T40</v>
      </c>
      <c r="H39" s="87" t="str">
        <f>D37</f>
        <v>T9</v>
      </c>
      <c r="I39" s="81" t="str">
        <f>E35</f>
        <v>T23</v>
      </c>
      <c r="O39" t="s">
        <v>59</v>
      </c>
    </row>
    <row r="40" spans="1:15" ht="15" customHeight="1" x14ac:dyDescent="0.35">
      <c r="A40" s="51" t="str">
        <f>A29</f>
        <v>Nick’s Weekendspecial</v>
      </c>
      <c r="B40" s="52" t="str">
        <f>B30</f>
        <v>T16</v>
      </c>
      <c r="C40" s="52" t="str">
        <f>C32</f>
        <v>T30</v>
      </c>
      <c r="D40" s="52" t="str">
        <f>D31</f>
        <v>T28</v>
      </c>
      <c r="E40" s="53" t="str">
        <f>E32</f>
        <v>T35</v>
      </c>
      <c r="F40" s="123" t="str">
        <f>F13</f>
        <v>← (PAUZE) voor de teams hiernaast</v>
      </c>
      <c r="G40" s="124"/>
      <c r="H40" s="124"/>
      <c r="I40" s="125"/>
      <c r="O40" t="s">
        <v>60</v>
      </c>
    </row>
    <row r="41" spans="1:15" ht="15" customHeight="1" x14ac:dyDescent="0.35">
      <c r="A41" s="54" t="str">
        <f>A30</f>
        <v>Danoontje Powerrrrrr</v>
      </c>
      <c r="B41" s="55" t="e">
        <f>B31</f>
        <v>#REF!</v>
      </c>
      <c r="C41" s="55" t="str">
        <f>C29</f>
        <v>T27</v>
      </c>
      <c r="D41" s="55" t="str">
        <f>D32</f>
        <v>T31</v>
      </c>
      <c r="E41" s="56" t="str">
        <f>E31</f>
        <v>T26</v>
      </c>
      <c r="F41" s="126"/>
      <c r="G41" s="127"/>
      <c r="H41" s="127"/>
      <c r="I41" s="128"/>
    </row>
    <row r="42" spans="1:15" ht="15" customHeight="1" x14ac:dyDescent="0.35">
      <c r="A42" s="57" t="str">
        <f>A31</f>
        <v>Kamelenrace</v>
      </c>
      <c r="B42" s="55" t="str">
        <f>B32</f>
        <v>T14</v>
      </c>
      <c r="C42" s="55" t="str">
        <f>C30</f>
        <v>T19</v>
      </c>
      <c r="D42" s="55" t="str">
        <f>D30</f>
        <v>T38</v>
      </c>
      <c r="E42" s="58" t="str">
        <f>E29</f>
        <v>T38</v>
      </c>
      <c r="F42" s="126"/>
      <c r="G42" s="127"/>
      <c r="H42" s="127"/>
      <c r="I42" s="128"/>
    </row>
    <row r="43" spans="1:15" ht="15.75" customHeight="1" thickBot="1" x14ac:dyDescent="0.4">
      <c r="A43" s="59" t="str">
        <f>A32</f>
        <v>Memory Romy</v>
      </c>
      <c r="B43" s="60" t="str">
        <f>B29</f>
        <v>T10</v>
      </c>
      <c r="C43" s="60" t="str">
        <f>C31</f>
        <v>T21</v>
      </c>
      <c r="D43" s="60" t="str">
        <f>D29</f>
        <v>T20</v>
      </c>
      <c r="E43" s="23" t="str">
        <f>E30</f>
        <v>T39</v>
      </c>
      <c r="F43" s="129"/>
      <c r="G43" s="130"/>
      <c r="H43" s="130"/>
      <c r="I43" s="131"/>
    </row>
  </sheetData>
  <mergeCells count="2">
    <mergeCell ref="F13:I16"/>
    <mergeCell ref="F40:I43"/>
  </mergeCells>
  <phoneticPr fontId="3" type="noConversion"/>
  <pageMargins left="0.25" right="0.25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42"/>
  <sheetViews>
    <sheetView view="pageBreakPreview" zoomScale="60" zoomScaleNormal="85" workbookViewId="0">
      <selection activeCell="A24" sqref="A24:XFD24"/>
    </sheetView>
  </sheetViews>
  <sheetFormatPr defaultRowHeight="14.5" x14ac:dyDescent="0.35"/>
  <cols>
    <col min="1" max="3" width="8.81640625" customWidth="1"/>
    <col min="4" max="4" width="17.81640625" customWidth="1"/>
    <col min="5" max="5" width="8.81640625" customWidth="1"/>
  </cols>
  <sheetData>
    <row r="1" spans="1:33" x14ac:dyDescent="0.35">
      <c r="A1" s="3"/>
      <c r="B1" s="133" t="str">
        <f>'Schema!!!!!!'!B1</f>
        <v>ronde 1</v>
      </c>
      <c r="C1" s="133"/>
      <c r="D1" s="133"/>
      <c r="E1" s="133"/>
      <c r="F1" s="133"/>
      <c r="K1" s="133" t="str">
        <f>'Schema!!!!!!'!B12</f>
        <v>ronde 4</v>
      </c>
      <c r="L1" s="133"/>
      <c r="M1" s="133"/>
      <c r="N1" s="133"/>
      <c r="O1" s="133"/>
      <c r="S1" s="3"/>
      <c r="T1" s="133" t="str">
        <f>'Schema!!!!!!'!F23</f>
        <v>ronde 7</v>
      </c>
      <c r="U1" s="133"/>
      <c r="V1" s="133"/>
      <c r="W1" s="133"/>
      <c r="X1" s="133"/>
      <c r="AC1" s="133" t="str">
        <f>'Schema!!!!!!'!F34</f>
        <v>ronde 10</v>
      </c>
      <c r="AD1" s="133"/>
      <c r="AE1" s="133"/>
      <c r="AF1" s="133"/>
      <c r="AG1" s="133"/>
    </row>
    <row r="2" spans="1:33" x14ac:dyDescent="0.35">
      <c r="B2" s="151" t="str">
        <f>'Schema!!!!!!'!A13</f>
        <v>Salty potato in the hole</v>
      </c>
      <c r="C2" s="151"/>
      <c r="D2" s="151"/>
      <c r="E2" s="151"/>
      <c r="F2" s="151"/>
      <c r="K2" s="133" t="str">
        <f>B2</f>
        <v>Salty potato in the hole</v>
      </c>
      <c r="L2" s="133"/>
      <c r="M2" s="133"/>
      <c r="N2" s="133"/>
      <c r="O2" s="133"/>
      <c r="T2" s="133" t="str">
        <f>K2</f>
        <v>Salty potato in the hole</v>
      </c>
      <c r="U2" s="133"/>
      <c r="V2" s="133"/>
      <c r="W2" s="133"/>
      <c r="X2" s="133"/>
      <c r="AC2" s="133" t="str">
        <f>T2</f>
        <v>Salty potato in the hole</v>
      </c>
      <c r="AD2" s="133"/>
      <c r="AE2" s="133"/>
      <c r="AF2" s="133"/>
      <c r="AG2" s="133"/>
    </row>
    <row r="3" spans="1:33" x14ac:dyDescent="0.35">
      <c r="B3" s="13" t="str">
        <f>'Schema!!!!!!'!B2</f>
        <v>T10</v>
      </c>
      <c r="C3" s="13" t="str">
        <f>'Schema!!!!!!'!C2</f>
        <v>T21</v>
      </c>
      <c r="D3" s="13" t="str">
        <f>'Schema!!!!!!'!D2</f>
        <v>T28</v>
      </c>
      <c r="E3" s="13" t="str">
        <f>'Schema!!!!!!'!E2</f>
        <v>T35</v>
      </c>
      <c r="F3" s="13"/>
      <c r="K3" t="e">
        <f>'Schema!!!!!!'!B13</f>
        <v>#REF!</v>
      </c>
      <c r="L3" t="str">
        <f>'Schema!!!!!!'!C13</f>
        <v>T30</v>
      </c>
      <c r="M3" t="str">
        <f>'Schema!!!!!!'!D13</f>
        <v>T31</v>
      </c>
      <c r="N3" t="str">
        <f>'Schema!!!!!!'!E13</f>
        <v>T39</v>
      </c>
      <c r="T3" s="14" t="str">
        <f>'Schema!!!!!!'!F24</f>
        <v>T34</v>
      </c>
      <c r="U3" s="14" t="str">
        <f>'Schema!!!!!!'!G24</f>
        <v>T4</v>
      </c>
      <c r="V3" s="14" t="str">
        <f>'Schema!!!!!!'!H24</f>
        <v>T5</v>
      </c>
      <c r="W3" s="14" t="str">
        <f>'Schema!!!!!!'!I24</f>
        <v>T32</v>
      </c>
      <c r="AC3" s="14" t="str">
        <f>'Schema!!!!!!'!F35</f>
        <v>T1</v>
      </c>
      <c r="AD3" s="14" t="str">
        <f>'Schema!!!!!!'!G35</f>
        <v>T8</v>
      </c>
      <c r="AE3" s="14" t="str">
        <f>'Schema!!!!!!'!H35</f>
        <v>T11</v>
      </c>
      <c r="AF3" s="14" t="str">
        <f>'Schema!!!!!!'!I35</f>
        <v>T6</v>
      </c>
    </row>
    <row r="5" spans="1:33" ht="15" thickBot="1" x14ac:dyDescent="0.4">
      <c r="B5" s="135" t="str">
        <f>B3</f>
        <v>T10</v>
      </c>
      <c r="C5" s="135"/>
      <c r="E5" s="135" t="str">
        <f>C3</f>
        <v>T21</v>
      </c>
      <c r="F5" s="135"/>
      <c r="K5" s="135" t="e">
        <f>K3</f>
        <v>#REF!</v>
      </c>
      <c r="L5" s="135"/>
      <c r="N5" s="135" t="str">
        <f>L3</f>
        <v>T30</v>
      </c>
      <c r="O5" s="135"/>
      <c r="T5" s="135" t="str">
        <f>T3</f>
        <v>T34</v>
      </c>
      <c r="U5" s="135"/>
      <c r="W5" s="135" t="str">
        <f>U3</f>
        <v>T4</v>
      </c>
      <c r="X5" s="135"/>
      <c r="AC5" s="135" t="str">
        <f>AC3</f>
        <v>T1</v>
      </c>
      <c r="AD5" s="135"/>
      <c r="AF5" s="135" t="str">
        <f>AD3</f>
        <v>T8</v>
      </c>
      <c r="AG5" s="135"/>
    </row>
    <row r="6" spans="1:33" ht="15" thickBot="1" x14ac:dyDescent="0.4">
      <c r="B6" s="132"/>
      <c r="C6" s="132"/>
      <c r="E6" s="132"/>
      <c r="F6" s="132"/>
      <c r="K6" s="132"/>
      <c r="L6" s="132"/>
      <c r="N6" s="132"/>
      <c r="O6" s="132"/>
      <c r="T6" s="132"/>
      <c r="U6" s="132"/>
      <c r="W6" s="132"/>
      <c r="X6" s="132"/>
      <c r="AC6" s="132"/>
      <c r="AD6" s="132"/>
      <c r="AF6" s="132"/>
      <c r="AG6" s="132"/>
    </row>
    <row r="7" spans="1:33" ht="15" thickBot="1" x14ac:dyDescent="0.4">
      <c r="B7" s="132"/>
      <c r="C7" s="132"/>
      <c r="E7" s="132"/>
      <c r="F7" s="132"/>
      <c r="K7" s="132"/>
      <c r="L7" s="132"/>
      <c r="N7" s="132"/>
      <c r="O7" s="132"/>
      <c r="T7" s="132"/>
      <c r="U7" s="132"/>
      <c r="W7" s="132"/>
      <c r="X7" s="132"/>
      <c r="AC7" s="132"/>
      <c r="AD7" s="132"/>
      <c r="AF7" s="132"/>
      <c r="AG7" s="132"/>
    </row>
    <row r="8" spans="1:33" ht="15" thickBot="1" x14ac:dyDescent="0.4">
      <c r="B8" s="134" t="str">
        <f>D3</f>
        <v>T28</v>
      </c>
      <c r="C8" s="134"/>
      <c r="E8" s="134" t="str">
        <f>E3</f>
        <v>T35</v>
      </c>
      <c r="F8" s="134"/>
      <c r="K8" s="134" t="str">
        <f>M3</f>
        <v>T31</v>
      </c>
      <c r="L8" s="134"/>
      <c r="N8" s="134" t="str">
        <f>N3</f>
        <v>T39</v>
      </c>
      <c r="O8" s="134"/>
      <c r="T8" s="134" t="str">
        <f>V3</f>
        <v>T5</v>
      </c>
      <c r="U8" s="134"/>
      <c r="W8" s="140" t="str">
        <f>W3</f>
        <v>T32</v>
      </c>
      <c r="X8" s="140"/>
      <c r="AC8" s="134" t="str">
        <f>AE3</f>
        <v>T11</v>
      </c>
      <c r="AD8" s="134"/>
      <c r="AF8" s="140" t="str">
        <f>AF3</f>
        <v>T6</v>
      </c>
      <c r="AG8" s="140"/>
    </row>
    <row r="9" spans="1:33" ht="15" thickBot="1" x14ac:dyDescent="0.4">
      <c r="B9" s="132"/>
      <c r="C9" s="132"/>
      <c r="E9" s="132"/>
      <c r="F9" s="132"/>
      <c r="K9" s="132"/>
      <c r="L9" s="132"/>
      <c r="N9" s="132"/>
      <c r="O9" s="132"/>
      <c r="T9" s="132"/>
      <c r="U9" s="132"/>
      <c r="W9" s="132"/>
      <c r="X9" s="132"/>
      <c r="AC9" s="132"/>
      <c r="AD9" s="132"/>
      <c r="AF9" s="132"/>
      <c r="AG9" s="132"/>
    </row>
    <row r="10" spans="1:33" ht="15" thickBot="1" x14ac:dyDescent="0.4">
      <c r="B10" s="132"/>
      <c r="C10" s="132"/>
      <c r="E10" s="132"/>
      <c r="F10" s="132"/>
      <c r="K10" s="132"/>
      <c r="L10" s="132"/>
      <c r="N10" s="132"/>
      <c r="O10" s="132"/>
      <c r="T10" s="132"/>
      <c r="U10" s="132"/>
      <c r="W10" s="132"/>
      <c r="X10" s="132"/>
      <c r="AC10" s="132"/>
      <c r="AD10" s="132"/>
      <c r="AF10" s="132"/>
      <c r="AG10" s="132"/>
    </row>
    <row r="11" spans="1:33" x14ac:dyDescent="0.35">
      <c r="B11" s="136"/>
      <c r="C11" s="136"/>
      <c r="E11" s="136"/>
      <c r="F11" s="136"/>
      <c r="K11" s="136"/>
      <c r="L11" s="136"/>
      <c r="N11" s="136"/>
      <c r="O11" s="136"/>
      <c r="T11" s="136"/>
      <c r="U11" s="136"/>
      <c r="W11" s="136"/>
      <c r="X11" s="136"/>
    </row>
    <row r="12" spans="1:33" x14ac:dyDescent="0.35">
      <c r="B12" s="133" t="str">
        <f>'Schema!!!!!!'!F1</f>
        <v>ronde 2</v>
      </c>
      <c r="C12" s="133"/>
      <c r="D12" s="133"/>
      <c r="E12" s="133"/>
      <c r="F12" s="133"/>
      <c r="K12" s="133" t="str">
        <f>'Schema!!!!!!'!F12</f>
        <v>ronde 5</v>
      </c>
      <c r="L12" s="133"/>
      <c r="M12" s="133"/>
      <c r="N12" s="133"/>
      <c r="O12" s="133"/>
      <c r="T12" s="133" t="str">
        <f>'Schema!!!!!!'!J23</f>
        <v>ronde 8</v>
      </c>
      <c r="U12" s="133"/>
      <c r="V12" s="133"/>
      <c r="W12" s="133"/>
      <c r="X12" s="133"/>
    </row>
    <row r="13" spans="1:33" ht="15" thickBot="1" x14ac:dyDescent="0.4">
      <c r="B13" s="133" t="str">
        <f>B2</f>
        <v>Salty potato in the hole</v>
      </c>
      <c r="C13" s="133"/>
      <c r="D13" s="133"/>
      <c r="E13" s="133"/>
      <c r="F13" s="133"/>
      <c r="K13" s="133" t="str">
        <f>K2</f>
        <v>Salty potato in the hole</v>
      </c>
      <c r="L13" s="133"/>
      <c r="M13" s="133"/>
      <c r="N13" s="133"/>
      <c r="O13" s="133"/>
      <c r="T13" s="133" t="str">
        <f>T2</f>
        <v>Salty potato in the hole</v>
      </c>
      <c r="U13" s="133"/>
      <c r="V13" s="133"/>
      <c r="W13" s="133"/>
      <c r="X13" s="133"/>
    </row>
    <row r="14" spans="1:33" x14ac:dyDescent="0.35">
      <c r="B14" s="14" t="str">
        <f>'Schema!!!!!!'!F2</f>
        <v>T16</v>
      </c>
      <c r="C14" s="14" t="str">
        <f>'Schema!!!!!!'!G2</f>
        <v>T27</v>
      </c>
      <c r="D14" s="14" t="str">
        <f>'Schema!!!!!!'!H2</f>
        <v>T20</v>
      </c>
      <c r="E14" s="14" t="str">
        <f>'Schema!!!!!!'!I2</f>
        <v>T26</v>
      </c>
      <c r="F14" s="14"/>
      <c r="K14" s="141" t="str">
        <f>'Schema!!!!!!'!F13</f>
        <v>← (PAUZE) voor de teams hiernaast</v>
      </c>
      <c r="L14" s="142"/>
      <c r="M14" s="142"/>
      <c r="N14" s="142"/>
      <c r="O14" s="143"/>
      <c r="T14" s="14" t="str">
        <f>'Schema!!!!!!'!J24</f>
        <v>T37</v>
      </c>
      <c r="U14" s="14" t="str">
        <f>'Schema!!!!!!'!K24</f>
        <v>T24</v>
      </c>
      <c r="V14" s="14" t="str">
        <f>'Schema!!!!!!'!L24</f>
        <v>T9</v>
      </c>
      <c r="W14" s="14" t="str">
        <f>'Schema!!!!!!'!M24</f>
        <v>T31</v>
      </c>
      <c r="X14" s="14"/>
    </row>
    <row r="15" spans="1:33" x14ac:dyDescent="0.35">
      <c r="K15" s="144"/>
      <c r="L15" s="145"/>
      <c r="M15" s="145"/>
      <c r="N15" s="145"/>
      <c r="O15" s="146"/>
    </row>
    <row r="16" spans="1:33" ht="15" thickBot="1" x14ac:dyDescent="0.4">
      <c r="B16" s="135" t="str">
        <f>B14</f>
        <v>T16</v>
      </c>
      <c r="C16" s="135"/>
      <c r="E16" s="135" t="str">
        <f>C14</f>
        <v>T27</v>
      </c>
      <c r="F16" s="135"/>
      <c r="K16" s="144"/>
      <c r="L16" s="145"/>
      <c r="M16" s="145"/>
      <c r="N16" s="145"/>
      <c r="O16" s="146"/>
      <c r="T16" s="137" t="str">
        <f>T14</f>
        <v>T37</v>
      </c>
      <c r="U16" s="137"/>
      <c r="W16" s="135" t="str">
        <f>U14</f>
        <v>T24</v>
      </c>
      <c r="X16" s="135"/>
    </row>
    <row r="17" spans="2:24" ht="15" thickBot="1" x14ac:dyDescent="0.4">
      <c r="B17" s="132"/>
      <c r="C17" s="132"/>
      <c r="E17" s="132"/>
      <c r="F17" s="132"/>
      <c r="K17" s="144"/>
      <c r="L17" s="145"/>
      <c r="M17" s="145"/>
      <c r="N17" s="145"/>
      <c r="O17" s="146"/>
      <c r="T17" s="132"/>
      <c r="U17" s="132"/>
      <c r="W17" s="132"/>
      <c r="X17" s="132"/>
    </row>
    <row r="18" spans="2:24" ht="15" thickBot="1" x14ac:dyDescent="0.4">
      <c r="B18" s="132"/>
      <c r="C18" s="132"/>
      <c r="E18" s="132"/>
      <c r="F18" s="132"/>
      <c r="K18" s="147"/>
      <c r="L18" s="148"/>
      <c r="M18" s="148"/>
      <c r="N18" s="148"/>
      <c r="O18" s="149"/>
      <c r="T18" s="132"/>
      <c r="U18" s="132"/>
      <c r="W18" s="132"/>
      <c r="X18" s="132"/>
    </row>
    <row r="19" spans="2:24" ht="15" thickBot="1" x14ac:dyDescent="0.4">
      <c r="B19" s="139" t="str">
        <f>D14</f>
        <v>T20</v>
      </c>
      <c r="C19" s="139"/>
      <c r="E19" s="134" t="str">
        <f>E14</f>
        <v>T26</v>
      </c>
      <c r="F19" s="134"/>
      <c r="T19" s="138" t="str">
        <f>V14</f>
        <v>T9</v>
      </c>
      <c r="U19" s="138"/>
      <c r="W19" s="139" t="str">
        <f>W14</f>
        <v>T31</v>
      </c>
      <c r="X19" s="139"/>
    </row>
    <row r="20" spans="2:24" ht="15" thickBot="1" x14ac:dyDescent="0.4">
      <c r="B20" s="132"/>
      <c r="C20" s="132"/>
      <c r="E20" s="132"/>
      <c r="F20" s="132"/>
      <c r="T20" s="132"/>
      <c r="U20" s="132"/>
      <c r="W20" s="132"/>
      <c r="X20" s="132"/>
    </row>
    <row r="21" spans="2:24" ht="15" thickBot="1" x14ac:dyDescent="0.4">
      <c r="B21" s="132"/>
      <c r="C21" s="132"/>
      <c r="E21" s="132"/>
      <c r="F21" s="132"/>
      <c r="T21" s="132"/>
      <c r="U21" s="132"/>
      <c r="W21" s="132"/>
      <c r="X21" s="132"/>
    </row>
    <row r="26" spans="2:24" x14ac:dyDescent="0.35">
      <c r="B26" s="133" t="str">
        <f>'Schema!!!!!!'!J1</f>
        <v>ronde 3</v>
      </c>
      <c r="C26" s="133"/>
      <c r="D26" s="133"/>
      <c r="E26" s="133"/>
      <c r="F26" s="133"/>
      <c r="K26" s="133" t="str">
        <f>'Schema!!!!!!'!B23</f>
        <v>ronde 6</v>
      </c>
      <c r="L26" s="133"/>
      <c r="M26" s="133"/>
      <c r="N26" s="133"/>
      <c r="O26" s="133"/>
      <c r="T26" s="133" t="str">
        <f>'Schema!!!!!!'!B34</f>
        <v>ronde 9</v>
      </c>
      <c r="U26" s="133"/>
      <c r="V26" s="133"/>
      <c r="W26" s="133"/>
      <c r="X26" s="133"/>
    </row>
    <row r="27" spans="2:24" x14ac:dyDescent="0.35">
      <c r="B27" s="133" t="str">
        <f>B2</f>
        <v>Salty potato in the hole</v>
      </c>
      <c r="C27" s="133"/>
      <c r="D27" s="133"/>
      <c r="E27" s="133"/>
      <c r="F27" s="133"/>
      <c r="K27" s="133" t="str">
        <f>K2</f>
        <v>Salty potato in the hole</v>
      </c>
      <c r="L27" s="133"/>
      <c r="M27" s="133"/>
      <c r="N27" s="133"/>
      <c r="O27" s="133"/>
      <c r="T27" s="133" t="str">
        <f>T13</f>
        <v>Salty potato in the hole</v>
      </c>
      <c r="U27" s="133"/>
      <c r="V27" s="133"/>
      <c r="W27" s="133"/>
      <c r="X27" s="133"/>
    </row>
    <row r="28" spans="2:24" x14ac:dyDescent="0.35">
      <c r="B28" s="14" t="str">
        <f>'Schema!!!!!!'!J2</f>
        <v>T14</v>
      </c>
      <c r="C28" t="str">
        <f>'Schema!!!!!!'!K2</f>
        <v>T19</v>
      </c>
      <c r="D28" t="str">
        <f>'Schema!!!!!!'!L2</f>
        <v>T38</v>
      </c>
      <c r="E28" t="str">
        <f>'Schema!!!!!!'!M2</f>
        <v>T38</v>
      </c>
      <c r="K28" s="14" t="str">
        <f>'Schema!!!!!!'!B24</f>
        <v>T2</v>
      </c>
      <c r="L28" s="14" t="str">
        <f>'Schema!!!!!!'!C24</f>
        <v>T7</v>
      </c>
      <c r="M28" s="14" t="str">
        <f>'Schema!!!!!!'!D24</f>
        <v>T12</v>
      </c>
      <c r="N28" s="14" t="str">
        <f>'Schema!!!!!!'!E24</f>
        <v>T3</v>
      </c>
      <c r="O28" s="14"/>
      <c r="T28" s="14" t="str">
        <f>'Schema!!!!!!'!B35</f>
        <v>T15</v>
      </c>
      <c r="U28" s="14" t="str">
        <f>'Schema!!!!!!'!C35</f>
        <v>T40</v>
      </c>
      <c r="V28" s="14" t="str">
        <f>'Schema!!!!!!'!D35</f>
        <v>T25</v>
      </c>
      <c r="W28" s="14" t="str">
        <f>'Schema!!!!!!'!E35</f>
        <v>T23</v>
      </c>
      <c r="X28" s="14"/>
    </row>
    <row r="30" spans="2:24" ht="15" thickBot="1" x14ac:dyDescent="0.4">
      <c r="B30" s="137" t="str">
        <f>B28</f>
        <v>T14</v>
      </c>
      <c r="C30" s="137"/>
      <c r="E30" s="137" t="str">
        <f>C28</f>
        <v>T19</v>
      </c>
      <c r="F30" s="137"/>
      <c r="K30" s="137" t="str">
        <f>K28</f>
        <v>T2</v>
      </c>
      <c r="L30" s="137"/>
      <c r="N30" s="150" t="str">
        <f>L28</f>
        <v>T7</v>
      </c>
      <c r="O30" s="150"/>
      <c r="T30" s="135" t="str">
        <f>T28</f>
        <v>T15</v>
      </c>
      <c r="U30" s="135"/>
      <c r="W30" s="135" t="str">
        <f>U28</f>
        <v>T40</v>
      </c>
      <c r="X30" s="135"/>
    </row>
    <row r="31" spans="2:24" ht="15" thickBot="1" x14ac:dyDescent="0.4">
      <c r="B31" s="132"/>
      <c r="C31" s="132"/>
      <c r="E31" s="132"/>
      <c r="F31" s="132"/>
      <c r="K31" s="132"/>
      <c r="L31" s="132"/>
      <c r="N31" s="132"/>
      <c r="O31" s="132"/>
      <c r="T31" s="132"/>
      <c r="U31" s="132"/>
      <c r="W31" s="132"/>
      <c r="X31" s="132"/>
    </row>
    <row r="32" spans="2:24" ht="15" thickBot="1" x14ac:dyDescent="0.4">
      <c r="B32" s="132"/>
      <c r="C32" s="132"/>
      <c r="E32" s="132"/>
      <c r="F32" s="132"/>
      <c r="K32" s="132"/>
      <c r="L32" s="132"/>
      <c r="N32" s="132"/>
      <c r="O32" s="132"/>
      <c r="T32" s="132"/>
      <c r="U32" s="132"/>
      <c r="W32" s="132"/>
      <c r="X32" s="132"/>
    </row>
    <row r="33" spans="2:24" ht="15" thickBot="1" x14ac:dyDescent="0.4">
      <c r="B33" s="140" t="str">
        <f>D28</f>
        <v>T38</v>
      </c>
      <c r="C33" s="140"/>
      <c r="E33" s="140" t="str">
        <f>E28</f>
        <v>T38</v>
      </c>
      <c r="F33" s="140"/>
      <c r="K33" s="140" t="str">
        <f>M28</f>
        <v>T12</v>
      </c>
      <c r="L33" s="140"/>
      <c r="N33" s="140" t="str">
        <f>N28</f>
        <v>T3</v>
      </c>
      <c r="O33" s="140"/>
      <c r="T33" s="134" t="str">
        <f>V28</f>
        <v>T25</v>
      </c>
      <c r="U33" s="134"/>
      <c r="W33" s="134" t="str">
        <f>W28</f>
        <v>T23</v>
      </c>
      <c r="X33" s="134"/>
    </row>
    <row r="34" spans="2:24" ht="15" thickBot="1" x14ac:dyDescent="0.4">
      <c r="B34" s="132"/>
      <c r="C34" s="132"/>
      <c r="E34" s="132"/>
      <c r="F34" s="132"/>
      <c r="K34" s="132"/>
      <c r="L34" s="132"/>
      <c r="N34" s="132"/>
      <c r="O34" s="132"/>
      <c r="T34" s="132"/>
      <c r="U34" s="132"/>
      <c r="W34" s="132"/>
      <c r="X34" s="132"/>
    </row>
    <row r="35" spans="2:24" ht="15" thickBot="1" x14ac:dyDescent="0.4">
      <c r="B35" s="132"/>
      <c r="C35" s="132"/>
      <c r="E35" s="132"/>
      <c r="F35" s="132"/>
      <c r="K35" s="132"/>
      <c r="L35" s="132"/>
      <c r="N35" s="132"/>
      <c r="O35" s="132"/>
      <c r="T35" s="132"/>
      <c r="U35" s="132"/>
      <c r="W35" s="132"/>
      <c r="X35" s="132"/>
    </row>
    <row r="36" spans="2:24" x14ac:dyDescent="0.35">
      <c r="B36" s="136"/>
      <c r="C36" s="136"/>
      <c r="E36" s="136"/>
      <c r="F36" s="136"/>
    </row>
    <row r="37" spans="2:24" x14ac:dyDescent="0.35">
      <c r="B37" s="12"/>
      <c r="C37" s="12"/>
      <c r="D37" s="12"/>
      <c r="E37" s="12"/>
      <c r="F37" s="12"/>
    </row>
    <row r="38" spans="2:24" x14ac:dyDescent="0.35">
      <c r="B38" s="12"/>
      <c r="C38" s="12"/>
      <c r="D38" s="12"/>
      <c r="E38" s="12"/>
      <c r="F38" s="12"/>
    </row>
    <row r="39" spans="2:24" x14ac:dyDescent="0.35">
      <c r="B39" s="12"/>
      <c r="C39" s="12"/>
      <c r="D39" s="12"/>
      <c r="E39" s="12"/>
      <c r="F39" s="12"/>
    </row>
    <row r="40" spans="2:24" x14ac:dyDescent="0.35">
      <c r="B40" s="12"/>
      <c r="C40" s="12"/>
      <c r="D40" s="12"/>
      <c r="E40" s="12"/>
      <c r="F40" s="12"/>
    </row>
    <row r="41" spans="2:24" x14ac:dyDescent="0.35">
      <c r="B41" s="12"/>
      <c r="C41" s="12"/>
      <c r="D41" s="12"/>
      <c r="E41" s="12"/>
      <c r="F41" s="12"/>
    </row>
    <row r="42" spans="2:24" x14ac:dyDescent="0.35">
      <c r="B42" s="12"/>
      <c r="C42" s="12"/>
      <c r="D42" s="12"/>
      <c r="E42" s="12"/>
      <c r="F42" s="12"/>
    </row>
  </sheetData>
  <mergeCells count="101">
    <mergeCell ref="AC8:AD8"/>
    <mergeCell ref="AF8:AG8"/>
    <mergeCell ref="AC9:AD10"/>
    <mergeCell ref="AF9:AG10"/>
    <mergeCell ref="AC1:AG1"/>
    <mergeCell ref="AC2:AG2"/>
    <mergeCell ref="AC5:AD5"/>
    <mergeCell ref="AF5:AG5"/>
    <mergeCell ref="AC6:AD7"/>
    <mergeCell ref="AF6:AG7"/>
    <mergeCell ref="E20:F21"/>
    <mergeCell ref="B34:C35"/>
    <mergeCell ref="E34:F35"/>
    <mergeCell ref="B36:C36"/>
    <mergeCell ref="E36:F36"/>
    <mergeCell ref="B30:C30"/>
    <mergeCell ref="E30:F30"/>
    <mergeCell ref="B31:C32"/>
    <mergeCell ref="E31:F32"/>
    <mergeCell ref="B33:C33"/>
    <mergeCell ref="E33:F33"/>
    <mergeCell ref="N30:O30"/>
    <mergeCell ref="B1:F1"/>
    <mergeCell ref="B2:F2"/>
    <mergeCell ref="B5:C5"/>
    <mergeCell ref="E5:F5"/>
    <mergeCell ref="B6:C7"/>
    <mergeCell ref="E6:F7"/>
    <mergeCell ref="B8:C8"/>
    <mergeCell ref="E8:F8"/>
    <mergeCell ref="B9:C10"/>
    <mergeCell ref="E9:F10"/>
    <mergeCell ref="B11:C11"/>
    <mergeCell ref="E11:F11"/>
    <mergeCell ref="B12:F12"/>
    <mergeCell ref="B13:F13"/>
    <mergeCell ref="B16:C16"/>
    <mergeCell ref="E16:F16"/>
    <mergeCell ref="B26:F26"/>
    <mergeCell ref="B27:F27"/>
    <mergeCell ref="B17:C18"/>
    <mergeCell ref="E17:F18"/>
    <mergeCell ref="B19:C19"/>
    <mergeCell ref="E19:F19"/>
    <mergeCell ref="B20:C21"/>
    <mergeCell ref="K34:L35"/>
    <mergeCell ref="N34:O35"/>
    <mergeCell ref="K31:L32"/>
    <mergeCell ref="N31:O32"/>
    <mergeCell ref="K33:L33"/>
    <mergeCell ref="N33:O33"/>
    <mergeCell ref="K1:O1"/>
    <mergeCell ref="K2:O2"/>
    <mergeCell ref="K5:L5"/>
    <mergeCell ref="N5:O5"/>
    <mergeCell ref="K6:L7"/>
    <mergeCell ref="N6:O7"/>
    <mergeCell ref="K26:O26"/>
    <mergeCell ref="K14:O18"/>
    <mergeCell ref="K12:O12"/>
    <mergeCell ref="K13:O13"/>
    <mergeCell ref="K8:L8"/>
    <mergeCell ref="N8:O8"/>
    <mergeCell ref="K9:L10"/>
    <mergeCell ref="N9:O10"/>
    <mergeCell ref="K11:L11"/>
    <mergeCell ref="N11:O11"/>
    <mergeCell ref="K27:O27"/>
    <mergeCell ref="K30:L30"/>
    <mergeCell ref="T1:X1"/>
    <mergeCell ref="T2:X2"/>
    <mergeCell ref="T5:U5"/>
    <mergeCell ref="W5:X5"/>
    <mergeCell ref="T6:U7"/>
    <mergeCell ref="W6:X7"/>
    <mergeCell ref="T8:U8"/>
    <mergeCell ref="W8:X8"/>
    <mergeCell ref="T9:U10"/>
    <mergeCell ref="W9:X10"/>
    <mergeCell ref="T11:U11"/>
    <mergeCell ref="W11:X11"/>
    <mergeCell ref="T12:X12"/>
    <mergeCell ref="T13:X13"/>
    <mergeCell ref="T16:U16"/>
    <mergeCell ref="W16:X16"/>
    <mergeCell ref="T17:U18"/>
    <mergeCell ref="W17:X18"/>
    <mergeCell ref="T19:U19"/>
    <mergeCell ref="W19:X19"/>
    <mergeCell ref="T20:U21"/>
    <mergeCell ref="W20:X21"/>
    <mergeCell ref="T26:X26"/>
    <mergeCell ref="T33:U33"/>
    <mergeCell ref="W33:X33"/>
    <mergeCell ref="T34:U35"/>
    <mergeCell ref="W34:X35"/>
    <mergeCell ref="T27:X27"/>
    <mergeCell ref="T30:U30"/>
    <mergeCell ref="W30:X30"/>
    <mergeCell ref="T31:U32"/>
    <mergeCell ref="W31:X32"/>
  </mergeCells>
  <pageMargins left="0.70000000000000007" right="0.70000000000000007" top="0.75" bottom="0.75" header="0.30000000000000004" footer="0.30000000000000004"/>
  <pageSetup paperSize="9" orientation="portrait" r:id="rId1"/>
  <colBreaks count="2" manualBreakCount="2">
    <brk id="17" max="1048575" man="1"/>
    <brk id="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0"/>
  <sheetViews>
    <sheetView view="pageBreakPreview" topLeftCell="G2" zoomScale="60" zoomScaleNormal="70" workbookViewId="0">
      <selection activeCell="H2" sqref="H1:H1048576"/>
    </sheetView>
  </sheetViews>
  <sheetFormatPr defaultRowHeight="14.5" x14ac:dyDescent="0.35"/>
  <cols>
    <col min="1" max="3" width="8.81640625" customWidth="1"/>
    <col min="4" max="4" width="17.81640625" customWidth="1"/>
    <col min="5" max="5" width="8.81640625" customWidth="1"/>
  </cols>
  <sheetData>
    <row r="1" spans="1:33" hidden="1" x14ac:dyDescent="0.35">
      <c r="A1" s="3"/>
      <c r="B1" s="133"/>
      <c r="C1" s="133"/>
      <c r="D1" s="133"/>
      <c r="E1" s="133"/>
      <c r="F1" s="133"/>
      <c r="K1" s="133"/>
      <c r="L1" s="133"/>
      <c r="M1" s="133"/>
      <c r="N1" s="133"/>
      <c r="O1" s="133"/>
      <c r="S1" s="3"/>
      <c r="T1" s="133"/>
      <c r="U1" s="133"/>
      <c r="V1" s="133"/>
      <c r="W1" s="133"/>
      <c r="X1" s="133"/>
    </row>
    <row r="2" spans="1:33" x14ac:dyDescent="0.35">
      <c r="B2" s="133" t="str">
        <f>'Schema!!!!!!'!B1</f>
        <v>ronde 1</v>
      </c>
      <c r="C2" s="133"/>
      <c r="D2" s="133"/>
      <c r="E2" s="133"/>
      <c r="F2" s="133"/>
      <c r="K2" s="133" t="str">
        <f>'Schema!!!!!!'!B12</f>
        <v>ronde 4</v>
      </c>
      <c r="L2" s="133"/>
      <c r="M2" s="133"/>
      <c r="N2" s="133"/>
      <c r="O2" s="133"/>
      <c r="T2" s="133" t="str">
        <f>'Schema!!!!!!'!F23</f>
        <v>ronde 7</v>
      </c>
      <c r="U2" s="133"/>
      <c r="V2" s="133"/>
      <c r="W2" s="133"/>
      <c r="X2" s="133"/>
      <c r="AC2" s="133" t="str">
        <f>'Schema!!!!!!'!F34</f>
        <v>ronde 10</v>
      </c>
      <c r="AD2" s="133"/>
      <c r="AE2" s="133"/>
      <c r="AF2" s="133"/>
      <c r="AG2" s="133"/>
    </row>
    <row r="3" spans="1:33" x14ac:dyDescent="0.35">
      <c r="B3" s="133" t="str">
        <f>'Schema!!!!!!'!A14</f>
        <v>Pony Polo</v>
      </c>
      <c r="C3" s="133"/>
      <c r="D3" s="133"/>
      <c r="E3" s="133"/>
      <c r="F3" s="133"/>
      <c r="K3" s="133" t="str">
        <f>B3</f>
        <v>Pony Polo</v>
      </c>
      <c r="L3" s="133"/>
      <c r="M3" s="133"/>
      <c r="N3" s="133"/>
      <c r="O3" s="133"/>
      <c r="T3" s="133" t="str">
        <f>K3</f>
        <v>Pony Polo</v>
      </c>
      <c r="U3" s="133"/>
      <c r="V3" s="133"/>
      <c r="W3" s="133"/>
      <c r="X3" s="133"/>
      <c r="AC3" s="133" t="str">
        <f>T3</f>
        <v>Pony Polo</v>
      </c>
      <c r="AD3" s="133"/>
      <c r="AE3" s="133"/>
      <c r="AF3" s="133"/>
      <c r="AG3" s="133"/>
    </row>
    <row r="4" spans="1:33" x14ac:dyDescent="0.35">
      <c r="B4" t="e">
        <f>'Schema!!!!!!'!#REF!</f>
        <v>#REF!</v>
      </c>
      <c r="C4" t="str">
        <f>'Schema!!!!!!'!C3</f>
        <v>T27</v>
      </c>
      <c r="D4" t="str">
        <f>'Schema!!!!!!'!D3</f>
        <v>T31</v>
      </c>
      <c r="E4" t="str">
        <f>'Schema!!!!!!'!E3</f>
        <v>T38</v>
      </c>
      <c r="K4" t="str">
        <f>'Schema!!!!!!'!B14</f>
        <v>T14</v>
      </c>
      <c r="L4" t="str">
        <f>'Schema!!!!!!'!C14</f>
        <v>T21</v>
      </c>
      <c r="M4" t="str">
        <f>'Schema!!!!!!'!D14</f>
        <v>T20</v>
      </c>
      <c r="N4" t="str">
        <f>'Schema!!!!!!'!E14</f>
        <v>T26</v>
      </c>
      <c r="T4" t="str">
        <f>'Schema!!!!!!'!F25</f>
        <v>T2</v>
      </c>
      <c r="U4" t="str">
        <f>'Schema!!!!!!'!G25</f>
        <v>T24</v>
      </c>
      <c r="V4" t="str">
        <f>'Schema!!!!!!'!H25</f>
        <v>T25</v>
      </c>
      <c r="W4" t="str">
        <f>'Schema!!!!!!'!I25</f>
        <v>T31</v>
      </c>
      <c r="AC4" t="str">
        <f>'Schema!!!!!!'!F36</f>
        <v>T15</v>
      </c>
      <c r="AD4" t="str">
        <f>'Schema!!!!!!'!G36</f>
        <v>T4</v>
      </c>
      <c r="AE4" t="str">
        <f>'Schema!!!!!!'!H36</f>
        <v>T5</v>
      </c>
      <c r="AF4" t="str">
        <f>'Schema!!!!!!'!I36</f>
        <v>T3</v>
      </c>
    </row>
    <row r="5" spans="1:33" x14ac:dyDescent="0.35">
      <c r="A5" s="117"/>
      <c r="B5" s="117"/>
      <c r="C5" s="117"/>
      <c r="D5" s="117"/>
      <c r="E5" s="117"/>
      <c r="F5" s="117"/>
      <c r="G5" s="117"/>
      <c r="H5" s="117"/>
      <c r="K5" s="117"/>
      <c r="L5" s="117"/>
      <c r="M5" s="117"/>
      <c r="N5" s="117"/>
      <c r="O5" s="117"/>
      <c r="P5" s="117"/>
      <c r="T5" s="117"/>
      <c r="U5" s="117"/>
      <c r="V5" s="117"/>
      <c r="W5" s="117"/>
      <c r="X5" s="117"/>
    </row>
    <row r="6" spans="1:33" ht="15" thickBot="1" x14ac:dyDescent="0.4">
      <c r="A6" s="117"/>
      <c r="B6" s="114" t="e">
        <f>B4</f>
        <v>#REF!</v>
      </c>
      <c r="C6" s="114"/>
      <c r="D6" s="117"/>
      <c r="E6" s="114" t="str">
        <f>C4</f>
        <v>T27</v>
      </c>
      <c r="F6" s="114"/>
      <c r="G6" s="117"/>
      <c r="H6" s="117"/>
      <c r="K6" s="114" t="str">
        <f>K4</f>
        <v>T14</v>
      </c>
      <c r="L6" s="114"/>
      <c r="M6" s="117"/>
      <c r="N6" s="114" t="str">
        <f>L4</f>
        <v>T21</v>
      </c>
      <c r="O6" s="114"/>
      <c r="P6" s="117"/>
      <c r="T6" s="114" t="str">
        <f>T4</f>
        <v>T2</v>
      </c>
      <c r="U6" s="114"/>
      <c r="V6" s="117"/>
      <c r="W6" s="114" t="str">
        <f>U4</f>
        <v>T24</v>
      </c>
      <c r="X6" s="114"/>
      <c r="AC6" s="114" t="str">
        <f>AC4</f>
        <v>T15</v>
      </c>
      <c r="AD6" s="114"/>
      <c r="AE6" s="117"/>
      <c r="AF6" s="114" t="str">
        <f>AD4</f>
        <v>T4</v>
      </c>
      <c r="AG6" s="114"/>
    </row>
    <row r="7" spans="1:33" x14ac:dyDescent="0.35">
      <c r="A7" s="117"/>
      <c r="B7" s="119"/>
      <c r="C7" s="120"/>
      <c r="D7" s="117"/>
      <c r="E7" s="119"/>
      <c r="F7" s="120"/>
      <c r="G7" s="117"/>
      <c r="H7" s="117"/>
      <c r="K7" s="119"/>
      <c r="L7" s="120"/>
      <c r="M7" s="117"/>
      <c r="N7" s="119"/>
      <c r="O7" s="120"/>
      <c r="P7" s="117"/>
      <c r="T7" s="119"/>
      <c r="U7" s="120"/>
      <c r="V7" s="117"/>
      <c r="W7" s="119"/>
      <c r="X7" s="120"/>
      <c r="AC7" s="119"/>
      <c r="AD7" s="120"/>
      <c r="AE7" s="117"/>
      <c r="AF7" s="119"/>
      <c r="AG7" s="120"/>
    </row>
    <row r="8" spans="1:33" ht="15" thickBot="1" x14ac:dyDescent="0.4">
      <c r="A8" s="117"/>
      <c r="B8" s="121"/>
      <c r="C8" s="122"/>
      <c r="D8" s="117"/>
      <c r="E8" s="121"/>
      <c r="F8" s="122"/>
      <c r="G8" s="117"/>
      <c r="H8" s="117"/>
      <c r="K8" s="121"/>
      <c r="L8" s="122"/>
      <c r="M8" s="117"/>
      <c r="N8" s="121"/>
      <c r="O8" s="122"/>
      <c r="P8" s="117"/>
      <c r="T8" s="121"/>
      <c r="U8" s="122"/>
      <c r="V8" s="117"/>
      <c r="W8" s="121"/>
      <c r="X8" s="122"/>
      <c r="AC8" s="121"/>
      <c r="AD8" s="122"/>
      <c r="AE8" s="117"/>
      <c r="AF8" s="121"/>
      <c r="AG8" s="122"/>
    </row>
    <row r="9" spans="1:33" ht="15" thickBot="1" x14ac:dyDescent="0.4">
      <c r="A9" s="117"/>
      <c r="B9" s="114" t="str">
        <f>D4</f>
        <v>T31</v>
      </c>
      <c r="C9" s="114"/>
      <c r="D9" s="117"/>
      <c r="E9" s="114" t="str">
        <f>E4</f>
        <v>T38</v>
      </c>
      <c r="F9" s="114"/>
      <c r="G9" s="117"/>
      <c r="H9" s="117"/>
      <c r="K9" s="114" t="str">
        <f>M4</f>
        <v>T20</v>
      </c>
      <c r="L9" s="114"/>
      <c r="M9" s="117"/>
      <c r="N9" s="114" t="str">
        <f>N4</f>
        <v>T26</v>
      </c>
      <c r="O9" s="114"/>
      <c r="P9" s="117"/>
      <c r="T9" s="114" t="str">
        <f>V4</f>
        <v>T25</v>
      </c>
      <c r="U9" s="114"/>
      <c r="V9" s="117"/>
      <c r="W9" s="114" t="str">
        <f>W4</f>
        <v>T31</v>
      </c>
      <c r="X9" s="114"/>
      <c r="AC9" s="114" t="str">
        <f>AE4</f>
        <v>T5</v>
      </c>
      <c r="AD9" s="114"/>
      <c r="AE9" s="117"/>
      <c r="AF9" s="114" t="str">
        <f>AF4</f>
        <v>T3</v>
      </c>
      <c r="AG9" s="114"/>
    </row>
    <row r="10" spans="1:33" x14ac:dyDescent="0.35">
      <c r="A10" s="117"/>
      <c r="B10" s="119"/>
      <c r="C10" s="120"/>
      <c r="D10" s="117"/>
      <c r="E10" s="119"/>
      <c r="F10" s="120"/>
      <c r="G10" s="117"/>
      <c r="H10" s="117"/>
      <c r="K10" s="119"/>
      <c r="L10" s="120"/>
      <c r="M10" s="117"/>
      <c r="N10" s="119"/>
      <c r="O10" s="120"/>
      <c r="P10" s="117"/>
      <c r="T10" s="119"/>
      <c r="U10" s="120"/>
      <c r="V10" s="117"/>
      <c r="W10" s="119"/>
      <c r="X10" s="120"/>
      <c r="AC10" s="119"/>
      <c r="AD10" s="120"/>
      <c r="AE10" s="117"/>
      <c r="AF10" s="119"/>
      <c r="AG10" s="120"/>
    </row>
    <row r="11" spans="1:33" ht="15" thickBot="1" x14ac:dyDescent="0.4">
      <c r="A11" s="117"/>
      <c r="B11" s="121"/>
      <c r="C11" s="122"/>
      <c r="D11" s="117"/>
      <c r="E11" s="121"/>
      <c r="F11" s="122"/>
      <c r="G11" s="117"/>
      <c r="H11" s="117"/>
      <c r="K11" s="121"/>
      <c r="L11" s="122"/>
      <c r="M11" s="117"/>
      <c r="N11" s="121"/>
      <c r="O11" s="122"/>
      <c r="P11" s="117"/>
      <c r="T11" s="121"/>
      <c r="U11" s="122"/>
      <c r="V11" s="117"/>
      <c r="W11" s="121"/>
      <c r="X11" s="122"/>
      <c r="AC11" s="121"/>
      <c r="AD11" s="122"/>
      <c r="AE11" s="117"/>
      <c r="AF11" s="121"/>
      <c r="AG11" s="122"/>
    </row>
    <row r="12" spans="1:33" ht="15" thickBot="1" x14ac:dyDescent="0.4">
      <c r="A12" s="117"/>
      <c r="B12" s="114" t="e">
        <f>B4</f>
        <v>#REF!</v>
      </c>
      <c r="C12" s="114"/>
      <c r="D12" s="117"/>
      <c r="E12" s="114" t="str">
        <f>D4</f>
        <v>T31</v>
      </c>
      <c r="F12" s="114"/>
      <c r="G12" s="117"/>
      <c r="H12" s="117"/>
      <c r="K12" s="114" t="str">
        <f>K4</f>
        <v>T14</v>
      </c>
      <c r="L12" s="114"/>
      <c r="M12" s="117"/>
      <c r="N12" s="114" t="str">
        <f>M4</f>
        <v>T20</v>
      </c>
      <c r="O12" s="114"/>
      <c r="P12" s="117"/>
      <c r="T12" s="114" t="str">
        <f>T4</f>
        <v>T2</v>
      </c>
      <c r="U12" s="114"/>
      <c r="V12" s="117"/>
      <c r="W12" s="114" t="str">
        <f>V4</f>
        <v>T25</v>
      </c>
      <c r="X12" s="114"/>
      <c r="AC12" s="114" t="str">
        <f>AC4</f>
        <v>T15</v>
      </c>
      <c r="AD12" s="114"/>
      <c r="AE12" s="117"/>
      <c r="AF12" s="114" t="str">
        <f>AE4</f>
        <v>T5</v>
      </c>
      <c r="AG12" s="114"/>
    </row>
    <row r="13" spans="1:33" x14ac:dyDescent="0.35">
      <c r="A13" s="117"/>
      <c r="B13" s="119"/>
      <c r="C13" s="120"/>
      <c r="D13" s="117"/>
      <c r="E13" s="119"/>
      <c r="F13" s="120"/>
      <c r="G13" s="117"/>
      <c r="H13" s="117"/>
      <c r="K13" s="119"/>
      <c r="L13" s="120"/>
      <c r="M13" s="117"/>
      <c r="N13" s="119"/>
      <c r="O13" s="120"/>
      <c r="P13" s="117"/>
      <c r="T13" s="119"/>
      <c r="U13" s="120"/>
      <c r="V13" s="117"/>
      <c r="W13" s="119"/>
      <c r="X13" s="120"/>
      <c r="AC13" s="119"/>
      <c r="AD13" s="120"/>
      <c r="AE13" s="117"/>
      <c r="AF13" s="119"/>
      <c r="AG13" s="120"/>
    </row>
    <row r="14" spans="1:33" ht="15" thickBot="1" x14ac:dyDescent="0.4">
      <c r="A14" s="117"/>
      <c r="B14" s="121"/>
      <c r="C14" s="122"/>
      <c r="D14" s="117"/>
      <c r="E14" s="121"/>
      <c r="F14" s="122"/>
      <c r="G14" s="117"/>
      <c r="H14" s="117"/>
      <c r="K14" s="121"/>
      <c r="L14" s="122"/>
      <c r="M14" s="117"/>
      <c r="N14" s="121"/>
      <c r="O14" s="122"/>
      <c r="P14" s="117"/>
      <c r="T14" s="121"/>
      <c r="U14" s="122"/>
      <c r="V14" s="117"/>
      <c r="W14" s="121"/>
      <c r="X14" s="122"/>
      <c r="AC14" s="121"/>
      <c r="AD14" s="122"/>
      <c r="AE14" s="117"/>
      <c r="AF14" s="121"/>
      <c r="AG14" s="122"/>
    </row>
    <row r="15" spans="1:33" ht="15" thickBot="1" x14ac:dyDescent="0.4">
      <c r="A15" s="117"/>
      <c r="B15" s="117" t="str">
        <f>C4</f>
        <v>T27</v>
      </c>
      <c r="C15" s="117"/>
      <c r="D15" s="117"/>
      <c r="E15" s="117" t="str">
        <f>E4</f>
        <v>T38</v>
      </c>
      <c r="F15" s="117"/>
      <c r="G15" s="117"/>
      <c r="H15" s="117"/>
      <c r="K15" s="117" t="str">
        <f>L4</f>
        <v>T21</v>
      </c>
      <c r="L15" s="117"/>
      <c r="M15" s="117"/>
      <c r="N15" s="117" t="str">
        <f>N4</f>
        <v>T26</v>
      </c>
      <c r="O15" s="117"/>
      <c r="P15" s="117"/>
      <c r="T15" s="117" t="str">
        <f>U4</f>
        <v>T24</v>
      </c>
      <c r="U15" s="117"/>
      <c r="V15" s="117"/>
      <c r="W15" s="117" t="str">
        <f>W4</f>
        <v>T31</v>
      </c>
      <c r="X15" s="117"/>
      <c r="AC15" s="117" t="str">
        <f>AD4</f>
        <v>T4</v>
      </c>
      <c r="AD15" s="117"/>
      <c r="AE15" s="117"/>
      <c r="AF15" s="117" t="str">
        <f>AF4</f>
        <v>T3</v>
      </c>
      <c r="AG15" s="117"/>
    </row>
    <row r="16" spans="1:33" x14ac:dyDescent="0.35">
      <c r="A16" s="117"/>
      <c r="B16" s="119"/>
      <c r="C16" s="120"/>
      <c r="D16" s="117"/>
      <c r="E16" s="119"/>
      <c r="F16" s="120"/>
      <c r="G16" s="117"/>
      <c r="H16" s="117"/>
      <c r="K16" s="119"/>
      <c r="L16" s="120"/>
      <c r="M16" s="118"/>
      <c r="N16" s="119"/>
      <c r="O16" s="120"/>
      <c r="P16" s="117"/>
      <c r="T16" s="119"/>
      <c r="U16" s="120"/>
      <c r="V16" s="118"/>
      <c r="W16" s="119"/>
      <c r="X16" s="120"/>
      <c r="AC16" s="119"/>
      <c r="AD16" s="120"/>
      <c r="AE16" s="118"/>
      <c r="AF16" s="119"/>
      <c r="AG16" s="120"/>
    </row>
    <row r="17" spans="1:33" ht="15" thickBot="1" x14ac:dyDescent="0.4">
      <c r="A17" s="117"/>
      <c r="B17" s="121"/>
      <c r="C17" s="122"/>
      <c r="D17" s="117"/>
      <c r="E17" s="121"/>
      <c r="F17" s="122"/>
      <c r="G17" s="117"/>
      <c r="H17" s="117"/>
      <c r="K17" s="121"/>
      <c r="L17" s="122"/>
      <c r="M17" s="118"/>
      <c r="N17" s="121"/>
      <c r="O17" s="122"/>
      <c r="T17" s="121"/>
      <c r="U17" s="122"/>
      <c r="V17" s="118"/>
      <c r="W17" s="121"/>
      <c r="X17" s="122"/>
      <c r="AC17" s="121"/>
      <c r="AD17" s="122"/>
      <c r="AE17" s="118"/>
      <c r="AF17" s="121"/>
      <c r="AG17" s="122"/>
    </row>
    <row r="18" spans="1:33" x14ac:dyDescent="0.35">
      <c r="A18" s="117"/>
      <c r="B18" s="152" t="str">
        <f>'Schema!!!!!!'!F1</f>
        <v>ronde 2</v>
      </c>
      <c r="C18" s="152"/>
      <c r="D18" s="152"/>
      <c r="E18" s="152"/>
      <c r="F18" s="152"/>
      <c r="G18" s="117"/>
      <c r="H18" s="117"/>
      <c r="K18" s="133" t="str">
        <f>'Schema!!!!!!'!F12</f>
        <v>ronde 5</v>
      </c>
      <c r="L18" s="133"/>
      <c r="M18" s="133"/>
      <c r="N18" s="133"/>
      <c r="O18" s="133"/>
      <c r="T18" s="152" t="str">
        <f>'Schema!!!!!!'!J23</f>
        <v>ronde 8</v>
      </c>
      <c r="U18" s="152"/>
      <c r="V18" s="152"/>
      <c r="W18" s="152"/>
      <c r="X18" s="152"/>
    </row>
    <row r="19" spans="1:33" ht="15" thickBot="1" x14ac:dyDescent="0.4">
      <c r="A19" s="117"/>
      <c r="B19" s="152" t="str">
        <f>B3</f>
        <v>Pony Polo</v>
      </c>
      <c r="C19" s="152"/>
      <c r="D19" s="152"/>
      <c r="E19" s="152"/>
      <c r="F19" s="152"/>
      <c r="G19" s="117"/>
      <c r="H19" s="117"/>
      <c r="K19" s="153" t="str">
        <f>K3</f>
        <v>Pony Polo</v>
      </c>
      <c r="L19" s="153"/>
      <c r="M19" s="153"/>
      <c r="N19" s="153"/>
      <c r="O19" s="153"/>
      <c r="T19" s="152" t="str">
        <f>T3</f>
        <v>Pony Polo</v>
      </c>
      <c r="U19" s="152"/>
      <c r="V19" s="152"/>
      <c r="W19" s="152"/>
      <c r="X19" s="152"/>
    </row>
    <row r="20" spans="1:33" x14ac:dyDescent="0.35">
      <c r="A20" s="117"/>
      <c r="B20" s="117" t="str">
        <f>'Schema!!!!!!'!F3</f>
        <v>T10</v>
      </c>
      <c r="C20" s="117" t="str">
        <f>'Schema!!!!!!'!G3</f>
        <v>T19</v>
      </c>
      <c r="D20" s="117" t="str">
        <f>'Schema!!!!!!'!H3</f>
        <v>T38</v>
      </c>
      <c r="E20" s="117" t="str">
        <f>'Schema!!!!!!'!I3</f>
        <v>T39</v>
      </c>
      <c r="F20" s="117"/>
      <c r="G20" s="117"/>
      <c r="H20" s="117"/>
      <c r="K20" s="141" t="str">
        <f>'Schema!!!!!!'!F13</f>
        <v>← (PAUZE) voor de teams hiernaast</v>
      </c>
      <c r="L20" s="142"/>
      <c r="M20" s="142"/>
      <c r="N20" s="142"/>
      <c r="O20" s="143"/>
      <c r="T20" s="117" t="str">
        <f>'Schema!!!!!!'!J25</f>
        <v>T34</v>
      </c>
      <c r="U20" s="117" t="str">
        <f>'Schema!!!!!!'!K25</f>
        <v>T40</v>
      </c>
      <c r="V20" s="117" t="str">
        <f>'Schema!!!!!!'!L25</f>
        <v>T11</v>
      </c>
      <c r="W20" s="117" t="str">
        <f>'Schema!!!!!!'!M25</f>
        <v>T23</v>
      </c>
      <c r="X20" s="117"/>
    </row>
    <row r="21" spans="1:33" x14ac:dyDescent="0.35">
      <c r="A21" s="117"/>
      <c r="B21" s="117"/>
      <c r="C21" s="117"/>
      <c r="D21" s="117"/>
      <c r="E21" s="117"/>
      <c r="F21" s="117"/>
      <c r="G21" s="117"/>
      <c r="H21" s="117"/>
      <c r="K21" s="144"/>
      <c r="L21" s="145"/>
      <c r="M21" s="145"/>
      <c r="N21" s="145"/>
      <c r="O21" s="146"/>
      <c r="T21" s="117"/>
      <c r="U21" s="117"/>
      <c r="V21" s="117"/>
      <c r="W21" s="117"/>
      <c r="X21" s="117"/>
    </row>
    <row r="22" spans="1:33" ht="15" thickBot="1" x14ac:dyDescent="0.4">
      <c r="A22" s="117"/>
      <c r="B22" s="114" t="str">
        <f>B20</f>
        <v>T10</v>
      </c>
      <c r="C22" s="114"/>
      <c r="D22" s="117"/>
      <c r="E22" s="114" t="str">
        <f>C20</f>
        <v>T19</v>
      </c>
      <c r="F22" s="114"/>
      <c r="G22" s="117"/>
      <c r="H22" s="117"/>
      <c r="K22" s="144"/>
      <c r="L22" s="145"/>
      <c r="M22" s="145"/>
      <c r="N22" s="145"/>
      <c r="O22" s="146"/>
      <c r="T22" s="114" t="str">
        <f>T20</f>
        <v>T34</v>
      </c>
      <c r="U22" s="114"/>
      <c r="V22" s="117"/>
      <c r="W22" s="114" t="str">
        <f>U20</f>
        <v>T40</v>
      </c>
      <c r="X22" s="114"/>
    </row>
    <row r="23" spans="1:33" x14ac:dyDescent="0.35">
      <c r="A23" s="117"/>
      <c r="B23" s="119"/>
      <c r="C23" s="120"/>
      <c r="D23" s="117"/>
      <c r="E23" s="119"/>
      <c r="F23" s="120"/>
      <c r="G23" s="117"/>
      <c r="H23" s="117"/>
      <c r="K23" s="144"/>
      <c r="L23" s="145"/>
      <c r="M23" s="145"/>
      <c r="N23" s="145"/>
      <c r="O23" s="146"/>
      <c r="T23" s="119"/>
      <c r="U23" s="120"/>
      <c r="V23" s="117"/>
      <c r="W23" s="119"/>
      <c r="X23" s="120"/>
    </row>
    <row r="24" spans="1:33" ht="15" thickBot="1" x14ac:dyDescent="0.4">
      <c r="A24" s="117"/>
      <c r="B24" s="121"/>
      <c r="C24" s="122"/>
      <c r="D24" s="117"/>
      <c r="E24" s="121"/>
      <c r="F24" s="122"/>
      <c r="G24" s="117"/>
      <c r="H24" s="117"/>
      <c r="K24" s="147"/>
      <c r="L24" s="148"/>
      <c r="M24" s="148"/>
      <c r="N24" s="148"/>
      <c r="O24" s="149"/>
      <c r="T24" s="121"/>
      <c r="U24" s="122"/>
      <c r="V24" s="117"/>
      <c r="W24" s="121"/>
      <c r="X24" s="122"/>
    </row>
    <row r="25" spans="1:33" ht="15" thickBot="1" x14ac:dyDescent="0.4">
      <c r="A25" s="117"/>
      <c r="B25" s="114" t="str">
        <f>D20</f>
        <v>T38</v>
      </c>
      <c r="C25" s="114"/>
      <c r="D25" s="117"/>
      <c r="E25" s="114" t="str">
        <f>E20</f>
        <v>T39</v>
      </c>
      <c r="F25" s="114"/>
      <c r="G25" s="117"/>
      <c r="H25" s="117"/>
      <c r="T25" s="114" t="str">
        <f>V20</f>
        <v>T11</v>
      </c>
      <c r="U25" s="114"/>
      <c r="V25" s="117"/>
      <c r="W25" s="114" t="str">
        <f>W20</f>
        <v>T23</v>
      </c>
      <c r="X25" s="114"/>
    </row>
    <row r="26" spans="1:33" x14ac:dyDescent="0.35">
      <c r="A26" s="117"/>
      <c r="B26" s="119"/>
      <c r="C26" s="120"/>
      <c r="D26" s="117"/>
      <c r="E26" s="119"/>
      <c r="F26" s="120"/>
      <c r="G26" s="117"/>
      <c r="H26" s="117"/>
      <c r="T26" s="119"/>
      <c r="U26" s="120"/>
      <c r="V26" s="117"/>
      <c r="W26" s="119"/>
      <c r="X26" s="120"/>
    </row>
    <row r="27" spans="1:33" ht="15" thickBot="1" x14ac:dyDescent="0.4">
      <c r="A27" s="117"/>
      <c r="B27" s="121"/>
      <c r="C27" s="122"/>
      <c r="D27" s="117"/>
      <c r="E27" s="121"/>
      <c r="F27" s="122"/>
      <c r="G27" s="117"/>
      <c r="H27" s="117"/>
      <c r="T27" s="121"/>
      <c r="U27" s="122"/>
      <c r="V27" s="117"/>
      <c r="W27" s="121"/>
      <c r="X27" s="122"/>
    </row>
    <row r="28" spans="1:33" ht="15" thickBot="1" x14ac:dyDescent="0.4">
      <c r="A28" s="117"/>
      <c r="B28" s="114" t="str">
        <f>B20</f>
        <v>T10</v>
      </c>
      <c r="C28" s="114"/>
      <c r="D28" s="117"/>
      <c r="E28" s="114" t="str">
        <f>D20</f>
        <v>T38</v>
      </c>
      <c r="F28" s="114"/>
      <c r="G28" s="117"/>
      <c r="H28" s="117"/>
      <c r="T28" s="114" t="str">
        <f>T20</f>
        <v>T34</v>
      </c>
      <c r="U28" s="114"/>
      <c r="V28" s="117"/>
      <c r="W28" s="114" t="str">
        <f>V20</f>
        <v>T11</v>
      </c>
      <c r="X28" s="114"/>
    </row>
    <row r="29" spans="1:33" x14ac:dyDescent="0.35">
      <c r="A29" s="117"/>
      <c r="B29" s="119"/>
      <c r="C29" s="120"/>
      <c r="D29" s="117"/>
      <c r="E29" s="119"/>
      <c r="F29" s="120"/>
      <c r="G29" s="117"/>
      <c r="H29" s="117"/>
      <c r="T29" s="119"/>
      <c r="U29" s="120"/>
      <c r="V29" s="117"/>
      <c r="W29" s="119"/>
      <c r="X29" s="120"/>
    </row>
    <row r="30" spans="1:33" ht="15" thickBot="1" x14ac:dyDescent="0.4">
      <c r="A30" s="117"/>
      <c r="B30" s="121"/>
      <c r="C30" s="122"/>
      <c r="D30" s="117"/>
      <c r="E30" s="121"/>
      <c r="F30" s="122"/>
      <c r="G30" s="117"/>
      <c r="H30" s="117"/>
      <c r="T30" s="121"/>
      <c r="U30" s="122"/>
      <c r="V30" s="117"/>
      <c r="W30" s="121"/>
      <c r="X30" s="122"/>
    </row>
    <row r="31" spans="1:33" ht="15" thickBot="1" x14ac:dyDescent="0.4">
      <c r="A31" s="117"/>
      <c r="B31" s="117" t="str">
        <f>C20</f>
        <v>T19</v>
      </c>
      <c r="C31" s="117"/>
      <c r="D31" s="117"/>
      <c r="E31" s="117" t="str">
        <f>E20</f>
        <v>T39</v>
      </c>
      <c r="F31" s="117"/>
      <c r="G31" s="117"/>
      <c r="H31" s="117"/>
      <c r="T31" s="117" t="str">
        <f>U20</f>
        <v>T40</v>
      </c>
      <c r="U31" s="117"/>
      <c r="V31" s="117"/>
      <c r="W31" s="117" t="str">
        <f>W20</f>
        <v>T23</v>
      </c>
      <c r="X31" s="117"/>
    </row>
    <row r="32" spans="1:33" x14ac:dyDescent="0.35">
      <c r="A32" s="117"/>
      <c r="B32" s="119"/>
      <c r="C32" s="120"/>
      <c r="D32" s="117"/>
      <c r="E32" s="119"/>
      <c r="F32" s="120"/>
      <c r="G32" s="117"/>
      <c r="H32" s="117"/>
      <c r="T32" s="119"/>
      <c r="U32" s="120"/>
      <c r="V32" s="118"/>
      <c r="W32" s="119"/>
      <c r="X32" s="120"/>
    </row>
    <row r="33" spans="1:24" ht="15" thickBot="1" x14ac:dyDescent="0.4">
      <c r="A33" s="117"/>
      <c r="B33" s="121"/>
      <c r="C33" s="122"/>
      <c r="D33" s="117"/>
      <c r="E33" s="121"/>
      <c r="F33" s="122"/>
      <c r="G33" s="117"/>
      <c r="H33" s="117"/>
      <c r="T33" s="121"/>
      <c r="U33" s="122"/>
      <c r="V33" s="118"/>
      <c r="W33" s="121"/>
      <c r="X33" s="122"/>
    </row>
    <row r="34" spans="1:24" x14ac:dyDescent="0.35">
      <c r="A34" s="117"/>
      <c r="B34" s="117"/>
      <c r="C34" s="117"/>
      <c r="D34" s="117"/>
      <c r="E34" s="117"/>
      <c r="F34" s="117"/>
      <c r="G34" s="117"/>
      <c r="H34" s="117"/>
      <c r="T34" s="117"/>
      <c r="U34" s="117"/>
      <c r="V34" s="117"/>
      <c r="W34" s="117"/>
      <c r="X34" s="117"/>
    </row>
    <row r="35" spans="1:24" x14ac:dyDescent="0.35">
      <c r="A35" s="117"/>
      <c r="B35" s="152" t="str">
        <f>'Schema!!!!!!'!J1</f>
        <v>ronde 3</v>
      </c>
      <c r="C35" s="152"/>
      <c r="D35" s="152"/>
      <c r="E35" s="152"/>
      <c r="F35" s="152"/>
      <c r="G35" s="117"/>
      <c r="H35" s="117"/>
      <c r="K35" s="133" t="str">
        <f>'Schema!!!!!!'!B23</f>
        <v>ronde 6</v>
      </c>
      <c r="L35" s="133"/>
      <c r="M35" s="133"/>
      <c r="N35" s="133"/>
      <c r="O35" s="133"/>
      <c r="T35" s="152" t="str">
        <f>'Schema!!!!!!'!B34</f>
        <v>ronde 9</v>
      </c>
      <c r="U35" s="152"/>
      <c r="V35" s="152"/>
      <c r="W35" s="152"/>
      <c r="X35" s="152"/>
    </row>
    <row r="36" spans="1:24" x14ac:dyDescent="0.35">
      <c r="A36" s="117"/>
      <c r="B36" s="152" t="str">
        <f>B3</f>
        <v>Pony Polo</v>
      </c>
      <c r="C36" s="152"/>
      <c r="D36" s="152"/>
      <c r="E36" s="152"/>
      <c r="F36" s="152"/>
      <c r="G36" s="117"/>
      <c r="H36" s="117"/>
      <c r="K36" s="133" t="str">
        <f>K3</f>
        <v>Pony Polo</v>
      </c>
      <c r="L36" s="133"/>
      <c r="M36" s="133"/>
      <c r="N36" s="133"/>
      <c r="O36" s="133"/>
      <c r="T36" s="152" t="str">
        <f>T19</f>
        <v>Pony Polo</v>
      </c>
      <c r="U36" s="152"/>
      <c r="V36" s="152"/>
      <c r="W36" s="152"/>
      <c r="X36" s="152"/>
    </row>
    <row r="37" spans="1:24" x14ac:dyDescent="0.35">
      <c r="A37" s="117"/>
      <c r="B37" s="117" t="str">
        <f>'Schema!!!!!!'!J3</f>
        <v>T16</v>
      </c>
      <c r="C37" s="117" t="str">
        <f>'Schema!!!!!!'!K3</f>
        <v>T30</v>
      </c>
      <c r="D37" s="117" t="str">
        <f>'Schema!!!!!!'!L3</f>
        <v>T28</v>
      </c>
      <c r="E37" s="117" t="str">
        <f>'Schema!!!!!!'!M3</f>
        <v>T35</v>
      </c>
      <c r="F37" s="117"/>
      <c r="G37" s="117"/>
      <c r="H37" s="117"/>
      <c r="K37" s="117" t="str">
        <f>'Schema!!!!!!'!B25</f>
        <v>T1</v>
      </c>
      <c r="L37" s="117" t="str">
        <f>'Schema!!!!!!'!C25</f>
        <v>T8</v>
      </c>
      <c r="M37" s="117" t="str">
        <f>'Schema!!!!!!'!D25</f>
        <v>T9</v>
      </c>
      <c r="N37" s="117" t="str">
        <f>'Schema!!!!!!'!E25</f>
        <v>T32</v>
      </c>
      <c r="O37" s="117"/>
      <c r="T37" s="117" t="str">
        <f>'Schema!!!!!!'!B36</f>
        <v>T37</v>
      </c>
      <c r="U37" s="117" t="str">
        <f>'Schema!!!!!!'!C36</f>
        <v>T7</v>
      </c>
      <c r="V37" s="117" t="str">
        <f>'Schema!!!!!!'!D36</f>
        <v>T12</v>
      </c>
      <c r="W37" s="117" t="str">
        <f>'Schema!!!!!!'!E36</f>
        <v>T6</v>
      </c>
      <c r="X37" s="117"/>
    </row>
    <row r="38" spans="1:24" x14ac:dyDescent="0.35">
      <c r="A38" s="117"/>
      <c r="B38" s="117"/>
      <c r="C38" s="117"/>
      <c r="D38" s="117"/>
      <c r="E38" s="117"/>
      <c r="F38" s="117"/>
      <c r="G38" s="117"/>
      <c r="H38" s="117"/>
      <c r="K38" s="117"/>
      <c r="L38" s="117"/>
      <c r="M38" s="117"/>
      <c r="N38" s="117"/>
      <c r="O38" s="117"/>
      <c r="T38" s="117"/>
      <c r="U38" s="117"/>
      <c r="V38" s="117"/>
      <c r="W38" s="117"/>
      <c r="X38" s="117"/>
    </row>
    <row r="39" spans="1:24" ht="15" thickBot="1" x14ac:dyDescent="0.4">
      <c r="A39" s="117"/>
      <c r="B39" s="114" t="str">
        <f>B37</f>
        <v>T16</v>
      </c>
      <c r="C39" s="114"/>
      <c r="D39" s="117"/>
      <c r="E39" s="114" t="str">
        <f>C37</f>
        <v>T30</v>
      </c>
      <c r="F39" s="114"/>
      <c r="G39" s="117"/>
      <c r="H39" s="117"/>
      <c r="J39" s="117"/>
      <c r="K39" s="114" t="str">
        <f>K37</f>
        <v>T1</v>
      </c>
      <c r="L39" s="114"/>
      <c r="M39" s="117"/>
      <c r="N39" s="114" t="str">
        <f>L37</f>
        <v>T8</v>
      </c>
      <c r="O39" s="114"/>
      <c r="T39" s="114" t="str">
        <f>T37</f>
        <v>T37</v>
      </c>
      <c r="U39" s="114"/>
      <c r="V39" s="117"/>
      <c r="W39" s="114" t="str">
        <f>U37</f>
        <v>T7</v>
      </c>
      <c r="X39" s="114"/>
    </row>
    <row r="40" spans="1:24" x14ac:dyDescent="0.35">
      <c r="A40" s="117"/>
      <c r="B40" s="119"/>
      <c r="C40" s="120"/>
      <c r="D40" s="117"/>
      <c r="E40" s="119"/>
      <c r="F40" s="120"/>
      <c r="G40" s="117"/>
      <c r="H40" s="117"/>
      <c r="J40" s="117"/>
      <c r="K40" s="119"/>
      <c r="L40" s="120"/>
      <c r="M40" s="117"/>
      <c r="N40" s="119"/>
      <c r="O40" s="120"/>
      <c r="T40" s="119"/>
      <c r="U40" s="120"/>
      <c r="V40" s="117"/>
      <c r="W40" s="119"/>
      <c r="X40" s="120"/>
    </row>
    <row r="41" spans="1:24" ht="15" thickBot="1" x14ac:dyDescent="0.4">
      <c r="A41" s="117"/>
      <c r="B41" s="121"/>
      <c r="C41" s="122"/>
      <c r="D41" s="117"/>
      <c r="E41" s="121"/>
      <c r="F41" s="122"/>
      <c r="G41" s="117"/>
      <c r="H41" s="117"/>
      <c r="J41" s="117"/>
      <c r="K41" s="121"/>
      <c r="L41" s="122"/>
      <c r="M41" s="117"/>
      <c r="N41" s="121"/>
      <c r="O41" s="122"/>
      <c r="T41" s="121"/>
      <c r="U41" s="122"/>
      <c r="V41" s="117"/>
      <c r="W41" s="121"/>
      <c r="X41" s="122"/>
    </row>
    <row r="42" spans="1:24" ht="15" thickBot="1" x14ac:dyDescent="0.4">
      <c r="A42" s="117"/>
      <c r="B42" s="114" t="str">
        <f>D37</f>
        <v>T28</v>
      </c>
      <c r="C42" s="114"/>
      <c r="D42" s="117"/>
      <c r="E42" s="114" t="str">
        <f>E37</f>
        <v>T35</v>
      </c>
      <c r="F42" s="114"/>
      <c r="G42" s="117"/>
      <c r="H42" s="117"/>
      <c r="J42" s="117"/>
      <c r="K42" s="114" t="str">
        <f>M37</f>
        <v>T9</v>
      </c>
      <c r="L42" s="114"/>
      <c r="M42" s="117"/>
      <c r="N42" s="114" t="str">
        <f>N37</f>
        <v>T32</v>
      </c>
      <c r="O42" s="114"/>
      <c r="T42" s="114" t="str">
        <f>V37</f>
        <v>T12</v>
      </c>
      <c r="U42" s="114"/>
      <c r="V42" s="117"/>
      <c r="W42" s="114" t="str">
        <f>W37</f>
        <v>T6</v>
      </c>
      <c r="X42" s="114"/>
    </row>
    <row r="43" spans="1:24" x14ac:dyDescent="0.35">
      <c r="A43" s="117"/>
      <c r="B43" s="119"/>
      <c r="C43" s="120"/>
      <c r="D43" s="117"/>
      <c r="E43" s="119"/>
      <c r="F43" s="120"/>
      <c r="G43" s="117"/>
      <c r="H43" s="117"/>
      <c r="J43" s="117"/>
      <c r="K43" s="119"/>
      <c r="L43" s="120"/>
      <c r="M43" s="117"/>
      <c r="N43" s="119"/>
      <c r="O43" s="120"/>
      <c r="T43" s="119"/>
      <c r="U43" s="120"/>
      <c r="V43" s="117"/>
      <c r="W43" s="119"/>
      <c r="X43" s="120"/>
    </row>
    <row r="44" spans="1:24" ht="15" thickBot="1" x14ac:dyDescent="0.4">
      <c r="A44" s="117"/>
      <c r="B44" s="121"/>
      <c r="C44" s="122"/>
      <c r="D44" s="117"/>
      <c r="E44" s="121"/>
      <c r="F44" s="122"/>
      <c r="G44" s="117"/>
      <c r="H44" s="117"/>
      <c r="J44" s="117"/>
      <c r="K44" s="121"/>
      <c r="L44" s="122"/>
      <c r="M44" s="117"/>
      <c r="N44" s="121"/>
      <c r="O44" s="122"/>
      <c r="T44" s="121"/>
      <c r="U44" s="122"/>
      <c r="V44" s="117"/>
      <c r="W44" s="121"/>
      <c r="X44" s="122"/>
    </row>
    <row r="45" spans="1:24" ht="15" thickBot="1" x14ac:dyDescent="0.4">
      <c r="A45" s="117"/>
      <c r="B45" s="114" t="str">
        <f>B37</f>
        <v>T16</v>
      </c>
      <c r="C45" s="114"/>
      <c r="D45" s="117"/>
      <c r="E45" s="114" t="str">
        <f>D37</f>
        <v>T28</v>
      </c>
      <c r="F45" s="114"/>
      <c r="G45" s="117"/>
      <c r="H45" s="117"/>
      <c r="J45" s="117"/>
      <c r="K45" s="114" t="str">
        <f>K37</f>
        <v>T1</v>
      </c>
      <c r="L45" s="114"/>
      <c r="M45" s="117"/>
      <c r="N45" s="114" t="str">
        <f>M37</f>
        <v>T9</v>
      </c>
      <c r="O45" s="114"/>
      <c r="T45" s="114" t="str">
        <f>T37</f>
        <v>T37</v>
      </c>
      <c r="U45" s="114"/>
      <c r="V45" s="117"/>
      <c r="W45" s="114" t="str">
        <f>V37</f>
        <v>T12</v>
      </c>
      <c r="X45" s="114"/>
    </row>
    <row r="46" spans="1:24" x14ac:dyDescent="0.35">
      <c r="A46" s="117"/>
      <c r="B46" s="119"/>
      <c r="C46" s="120"/>
      <c r="D46" s="117"/>
      <c r="E46" s="119"/>
      <c r="F46" s="120"/>
      <c r="G46" s="117"/>
      <c r="H46" s="117"/>
      <c r="J46" s="117"/>
      <c r="K46" s="119"/>
      <c r="L46" s="120"/>
      <c r="M46" s="117"/>
      <c r="N46" s="119"/>
      <c r="O46" s="120"/>
      <c r="T46" s="119"/>
      <c r="U46" s="120"/>
      <c r="V46" s="117"/>
      <c r="W46" s="119"/>
      <c r="X46" s="120"/>
    </row>
    <row r="47" spans="1:24" ht="15" thickBot="1" x14ac:dyDescent="0.4">
      <c r="A47" s="117"/>
      <c r="B47" s="121"/>
      <c r="C47" s="122"/>
      <c r="D47" s="117"/>
      <c r="E47" s="121"/>
      <c r="F47" s="122"/>
      <c r="G47" s="117"/>
      <c r="H47" s="117"/>
      <c r="J47" s="117"/>
      <c r="K47" s="121"/>
      <c r="L47" s="122"/>
      <c r="M47" s="117"/>
      <c r="N47" s="121"/>
      <c r="O47" s="122"/>
      <c r="T47" s="121"/>
      <c r="U47" s="122"/>
      <c r="V47" s="117"/>
      <c r="W47" s="121"/>
      <c r="X47" s="122"/>
    </row>
    <row r="48" spans="1:24" ht="15" thickBot="1" x14ac:dyDescent="0.4">
      <c r="A48" s="117"/>
      <c r="B48" s="117" t="str">
        <f>C37</f>
        <v>T30</v>
      </c>
      <c r="C48" s="117"/>
      <c r="D48" s="117"/>
      <c r="E48" s="117" t="str">
        <f>E37</f>
        <v>T35</v>
      </c>
      <c r="F48" s="117"/>
      <c r="G48" s="117"/>
      <c r="H48" s="117"/>
      <c r="J48" s="117"/>
      <c r="K48" s="117" t="str">
        <f>L37</f>
        <v>T8</v>
      </c>
      <c r="L48" s="117"/>
      <c r="M48" s="117"/>
      <c r="N48" s="117" t="str">
        <f>N37</f>
        <v>T32</v>
      </c>
      <c r="O48" s="117"/>
      <c r="T48" s="117" t="str">
        <f>U37</f>
        <v>T7</v>
      </c>
      <c r="U48" s="117"/>
      <c r="V48" s="117"/>
      <c r="W48" s="117" t="str">
        <f>W37</f>
        <v>T6</v>
      </c>
      <c r="X48" s="117"/>
    </row>
    <row r="49" spans="1:24" x14ac:dyDescent="0.35">
      <c r="A49" s="117"/>
      <c r="B49" s="119"/>
      <c r="C49" s="120"/>
      <c r="D49" s="118"/>
      <c r="E49" s="119"/>
      <c r="F49" s="120"/>
      <c r="G49" s="117"/>
      <c r="H49" s="117"/>
      <c r="K49" s="119"/>
      <c r="L49" s="120"/>
      <c r="M49" s="118"/>
      <c r="N49" s="119"/>
      <c r="O49" s="120"/>
      <c r="T49" s="119"/>
      <c r="U49" s="120"/>
      <c r="V49" s="118"/>
      <c r="W49" s="119"/>
      <c r="X49" s="120"/>
    </row>
    <row r="50" spans="1:24" ht="15" thickBot="1" x14ac:dyDescent="0.4">
      <c r="A50" s="117"/>
      <c r="B50" s="121"/>
      <c r="C50" s="122"/>
      <c r="D50" s="118"/>
      <c r="E50" s="121"/>
      <c r="F50" s="122"/>
      <c r="G50" s="117"/>
      <c r="H50" s="117"/>
      <c r="K50" s="121"/>
      <c r="L50" s="122"/>
      <c r="M50" s="118"/>
      <c r="N50" s="121"/>
      <c r="O50" s="122"/>
      <c r="T50" s="121"/>
      <c r="U50" s="122"/>
      <c r="V50" s="118"/>
      <c r="W50" s="121"/>
      <c r="X50" s="122"/>
    </row>
  </sheetData>
  <mergeCells count="24">
    <mergeCell ref="AC2:AG2"/>
    <mergeCell ref="AC3:AG3"/>
    <mergeCell ref="B1:F1"/>
    <mergeCell ref="K1:O1"/>
    <mergeCell ref="T1:X1"/>
    <mergeCell ref="B2:F2"/>
    <mergeCell ref="K2:O2"/>
    <mergeCell ref="T2:X2"/>
    <mergeCell ref="B36:F36"/>
    <mergeCell ref="B18:F18"/>
    <mergeCell ref="K18:O18"/>
    <mergeCell ref="T18:X18"/>
    <mergeCell ref="K3:O3"/>
    <mergeCell ref="K36:O36"/>
    <mergeCell ref="K20:O24"/>
    <mergeCell ref="T3:X3"/>
    <mergeCell ref="T19:X19"/>
    <mergeCell ref="T35:X35"/>
    <mergeCell ref="T36:X36"/>
    <mergeCell ref="B35:F35"/>
    <mergeCell ref="K35:O35"/>
    <mergeCell ref="K19:O19"/>
    <mergeCell ref="B3:F3"/>
    <mergeCell ref="B19:F19"/>
  </mergeCells>
  <pageMargins left="0.70000000000000007" right="0.70000000000000007" top="0.75" bottom="0.75" header="0.30000000000000004" footer="0.30000000000000004"/>
  <pageSetup paperSize="9" orientation="portrait" r:id="rId1"/>
  <colBreaks count="2" manualBreakCount="2">
    <brk id="17" max="1048575" man="1"/>
    <brk id="2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42"/>
  <sheetViews>
    <sheetView view="pageBreakPreview" topLeftCell="G1" zoomScale="60" zoomScaleNormal="55" workbookViewId="0">
      <selection activeCell="AF19" sqref="AF19"/>
    </sheetView>
  </sheetViews>
  <sheetFormatPr defaultRowHeight="14.5" x14ac:dyDescent="0.35"/>
  <cols>
    <col min="1" max="3" width="8.81640625" customWidth="1"/>
    <col min="4" max="4" width="17.81640625" customWidth="1"/>
    <col min="5" max="5" width="8.81640625" customWidth="1"/>
  </cols>
  <sheetData>
    <row r="1" spans="1:33" x14ac:dyDescent="0.35">
      <c r="A1" s="3"/>
      <c r="B1" s="133"/>
      <c r="C1" s="133"/>
      <c r="D1" s="133"/>
      <c r="E1" s="133"/>
      <c r="F1" s="133"/>
      <c r="K1" s="133"/>
      <c r="L1" s="133"/>
      <c r="M1" s="133"/>
      <c r="N1" s="133"/>
      <c r="O1" s="133"/>
      <c r="S1" s="3"/>
      <c r="T1" s="133"/>
      <c r="U1" s="133"/>
      <c r="V1" s="133"/>
      <c r="W1" s="133"/>
      <c r="X1" s="133"/>
    </row>
    <row r="2" spans="1:33" x14ac:dyDescent="0.35">
      <c r="B2" s="133"/>
      <c r="C2" s="133"/>
      <c r="D2" s="133"/>
      <c r="E2" s="133"/>
      <c r="F2" s="133"/>
      <c r="K2" s="133"/>
      <c r="L2" s="133"/>
      <c r="M2" s="133"/>
      <c r="N2" s="133"/>
      <c r="O2" s="133"/>
      <c r="T2" s="133"/>
      <c r="U2" s="133"/>
      <c r="V2" s="133"/>
      <c r="W2" s="133"/>
      <c r="X2" s="133"/>
    </row>
    <row r="3" spans="1:33" x14ac:dyDescent="0.35">
      <c r="B3" s="133" t="str">
        <f>'Schema!!!!!!'!B1</f>
        <v>ronde 1</v>
      </c>
      <c r="C3" s="133"/>
      <c r="D3" s="133"/>
      <c r="E3" s="133"/>
      <c r="F3" s="133"/>
      <c r="K3" s="133" t="str">
        <f>'Schema!!!!!!'!B12</f>
        <v>ronde 4</v>
      </c>
      <c r="L3" s="133"/>
      <c r="M3" s="133"/>
      <c r="N3" s="133"/>
      <c r="O3" s="133"/>
      <c r="S3" s="3"/>
      <c r="T3" s="133" t="str">
        <f>'Schema!!!!!!'!F23</f>
        <v>ronde 7</v>
      </c>
      <c r="U3" s="133"/>
      <c r="V3" s="133"/>
      <c r="W3" s="133"/>
      <c r="X3" s="133"/>
      <c r="AC3" s="133" t="str">
        <f>'Schema!!!!!!'!F34</f>
        <v>ronde 10</v>
      </c>
      <c r="AD3" s="133"/>
      <c r="AE3" s="133"/>
      <c r="AF3" s="133"/>
      <c r="AG3" s="133"/>
    </row>
    <row r="4" spans="1:33" x14ac:dyDescent="0.35">
      <c r="B4" s="133" t="str">
        <f>'Schema!!!!!!'!A15</f>
        <v>Straat van Hormuz</v>
      </c>
      <c r="C4" s="133"/>
      <c r="D4" s="133"/>
      <c r="E4" s="133"/>
      <c r="F4" s="133"/>
      <c r="K4" s="133" t="str">
        <f>B4</f>
        <v>Straat van Hormuz</v>
      </c>
      <c r="L4" s="133"/>
      <c r="M4" s="133"/>
      <c r="N4" s="133"/>
      <c r="O4" s="133"/>
      <c r="T4" s="133" t="str">
        <f>K4</f>
        <v>Straat van Hormuz</v>
      </c>
      <c r="U4" s="133"/>
      <c r="V4" s="133"/>
      <c r="W4" s="133"/>
      <c r="X4" s="133"/>
      <c r="AC4" s="133" t="str">
        <f>T4</f>
        <v>Straat van Hormuz</v>
      </c>
      <c r="AD4" s="133"/>
      <c r="AE4" s="133"/>
      <c r="AF4" s="133"/>
      <c r="AG4" s="133"/>
    </row>
    <row r="5" spans="1:33" x14ac:dyDescent="0.35">
      <c r="B5" t="str">
        <f>'Schema!!!!!!'!B4</f>
        <v>T14</v>
      </c>
      <c r="C5" t="str">
        <f>'Schema!!!!!!'!C4</f>
        <v>T19</v>
      </c>
      <c r="D5" t="str">
        <f>'Schema!!!!!!'!D4</f>
        <v>T20</v>
      </c>
      <c r="E5" t="str">
        <f>'Schema!!!!!!'!E4</f>
        <v>T26</v>
      </c>
      <c r="K5" t="str">
        <f>'Schema!!!!!!'!B15</f>
        <v>T16</v>
      </c>
      <c r="L5" t="str">
        <f>'Schema!!!!!!'!C15</f>
        <v>T27</v>
      </c>
      <c r="M5" t="str">
        <f>'Schema!!!!!!'!D15</f>
        <v>T38</v>
      </c>
      <c r="N5" t="str">
        <f>'Schema!!!!!!'!E15</f>
        <v>T35</v>
      </c>
      <c r="T5" t="str">
        <f>'Schema!!!!!!'!F26</f>
        <v>T1</v>
      </c>
      <c r="U5" t="str">
        <f>'Schema!!!!!!'!G26</f>
        <v>T40</v>
      </c>
      <c r="V5" t="str">
        <f>'Schema!!!!!!'!H26</f>
        <v>T12</v>
      </c>
      <c r="W5" t="str">
        <f>'Schema!!!!!!'!I26</f>
        <v>T23</v>
      </c>
      <c r="AC5" t="str">
        <f>'Schema!!!!!!'!F37</f>
        <v>T37</v>
      </c>
      <c r="AD5" t="str">
        <f>'Schema!!!!!!'!G37</f>
        <v>T24</v>
      </c>
      <c r="AE5" t="str">
        <f>'Schema!!!!!!'!H37</f>
        <v>T25</v>
      </c>
      <c r="AF5" t="str">
        <f>'Schema!!!!!!'!I37</f>
        <v>T32</v>
      </c>
    </row>
    <row r="7" spans="1:33" ht="15" thickBot="1" x14ac:dyDescent="0.4">
      <c r="B7" s="5" t="str">
        <f>B5</f>
        <v>T14</v>
      </c>
      <c r="C7" s="5"/>
      <c r="E7" s="5" t="str">
        <f>C5</f>
        <v>T19</v>
      </c>
      <c r="F7" s="5"/>
      <c r="K7" s="5" t="str">
        <f>K5</f>
        <v>T16</v>
      </c>
      <c r="L7" s="5"/>
      <c r="N7" s="5" t="str">
        <f>L5</f>
        <v>T27</v>
      </c>
      <c r="O7" s="5"/>
      <c r="T7" s="5" t="str">
        <f>T5</f>
        <v>T1</v>
      </c>
      <c r="U7" s="5"/>
      <c r="W7" s="5" t="str">
        <f>U5</f>
        <v>T40</v>
      </c>
      <c r="X7" s="5"/>
      <c r="AC7" s="71" t="str">
        <f>AC5</f>
        <v>T37</v>
      </c>
      <c r="AD7" s="71"/>
      <c r="AF7" s="108" t="str">
        <f>AD5</f>
        <v>T24</v>
      </c>
      <c r="AG7" s="71"/>
    </row>
    <row r="8" spans="1:33" x14ac:dyDescent="0.35">
      <c r="B8" s="154"/>
      <c r="C8" s="155"/>
      <c r="E8" s="154"/>
      <c r="F8" s="155"/>
      <c r="K8" s="154"/>
      <c r="L8" s="155"/>
      <c r="N8" s="154"/>
      <c r="O8" s="155"/>
      <c r="T8" s="154"/>
      <c r="U8" s="155"/>
      <c r="W8" s="154"/>
      <c r="X8" s="155"/>
      <c r="AC8" s="154"/>
      <c r="AD8" s="155"/>
      <c r="AF8" s="154"/>
      <c r="AG8" s="155"/>
    </row>
    <row r="9" spans="1:33" ht="15" thickBot="1" x14ac:dyDescent="0.4">
      <c r="B9" s="156"/>
      <c r="C9" s="157"/>
      <c r="E9" s="156"/>
      <c r="F9" s="157"/>
      <c r="K9" s="156"/>
      <c r="L9" s="157"/>
      <c r="N9" s="156"/>
      <c r="O9" s="157"/>
      <c r="T9" s="156"/>
      <c r="U9" s="157"/>
      <c r="W9" s="156"/>
      <c r="X9" s="157"/>
      <c r="AC9" s="156"/>
      <c r="AD9" s="157"/>
      <c r="AF9" s="156"/>
      <c r="AG9" s="157"/>
    </row>
    <row r="10" spans="1:33" ht="15" thickBot="1" x14ac:dyDescent="0.4">
      <c r="B10" s="6" t="str">
        <f>D5</f>
        <v>T20</v>
      </c>
      <c r="C10" s="6"/>
      <c r="E10" s="6" t="str">
        <f>E5</f>
        <v>T26</v>
      </c>
      <c r="F10" s="6"/>
      <c r="K10" s="6" t="str">
        <f>M5</f>
        <v>T38</v>
      </c>
      <c r="L10" s="6"/>
      <c r="N10" s="6" t="str">
        <f>N5</f>
        <v>T35</v>
      </c>
      <c r="O10" s="6"/>
      <c r="T10" s="6" t="str">
        <f>V5</f>
        <v>T12</v>
      </c>
      <c r="U10" s="6"/>
      <c r="W10" s="6" t="str">
        <f>W5</f>
        <v>T23</v>
      </c>
      <c r="X10" s="6"/>
      <c r="AC10" s="72" t="str">
        <f>AE5</f>
        <v>T25</v>
      </c>
      <c r="AD10" s="72"/>
      <c r="AF10" s="107" t="str">
        <f>AF5</f>
        <v>T32</v>
      </c>
      <c r="AG10" s="72"/>
    </row>
    <row r="11" spans="1:33" x14ac:dyDescent="0.35">
      <c r="B11" s="154"/>
      <c r="C11" s="155"/>
      <c r="E11" s="154"/>
      <c r="F11" s="155"/>
      <c r="K11" s="154"/>
      <c r="L11" s="155"/>
      <c r="N11" s="154"/>
      <c r="O11" s="155"/>
      <c r="T11" s="154"/>
      <c r="U11" s="155"/>
      <c r="W11" s="154"/>
      <c r="X11" s="155"/>
      <c r="AC11" s="154"/>
      <c r="AD11" s="155"/>
      <c r="AF11" s="154"/>
      <c r="AG11" s="155"/>
    </row>
    <row r="12" spans="1:33" ht="15" thickBot="1" x14ac:dyDescent="0.4">
      <c r="B12" s="156"/>
      <c r="C12" s="157"/>
      <c r="E12" s="156"/>
      <c r="F12" s="157"/>
      <c r="K12" s="156"/>
      <c r="L12" s="157"/>
      <c r="N12" s="156"/>
      <c r="O12" s="157"/>
      <c r="T12" s="156"/>
      <c r="U12" s="157"/>
      <c r="W12" s="156"/>
      <c r="X12" s="157"/>
      <c r="AC12" s="156"/>
      <c r="AD12" s="157"/>
      <c r="AF12" s="156"/>
      <c r="AG12" s="157"/>
    </row>
    <row r="13" spans="1:33" x14ac:dyDescent="0.35">
      <c r="B13" s="8"/>
      <c r="C13" s="8"/>
      <c r="E13" s="8"/>
      <c r="F13" s="8"/>
      <c r="K13" s="8"/>
      <c r="L13" s="8"/>
      <c r="N13" s="8"/>
      <c r="O13" s="8"/>
      <c r="T13" s="8"/>
      <c r="U13" s="8"/>
      <c r="W13" s="8"/>
      <c r="X13" s="8"/>
    </row>
    <row r="14" spans="1:33" x14ac:dyDescent="0.35">
      <c r="B14" s="133" t="str">
        <f>'Schema!!!!!!'!F1</f>
        <v>ronde 2</v>
      </c>
      <c r="C14" s="133"/>
      <c r="D14" s="133"/>
      <c r="E14" s="133"/>
      <c r="F14" s="133"/>
      <c r="K14" s="133" t="str">
        <f>'Schema!!!!!!'!F12</f>
        <v>ronde 5</v>
      </c>
      <c r="L14" s="133"/>
      <c r="M14" s="133"/>
      <c r="N14" s="133"/>
      <c r="O14" s="133"/>
      <c r="T14" s="133" t="str">
        <f>'Schema!!!!!!'!J23</f>
        <v>ronde 8</v>
      </c>
      <c r="U14" s="133"/>
      <c r="V14" s="133"/>
      <c r="W14" s="133"/>
      <c r="X14" s="133"/>
    </row>
    <row r="15" spans="1:33" ht="15" thickBot="1" x14ac:dyDescent="0.4">
      <c r="B15" s="133" t="str">
        <f>B4</f>
        <v>Straat van Hormuz</v>
      </c>
      <c r="C15" s="133"/>
      <c r="D15" s="133"/>
      <c r="E15" s="133"/>
      <c r="F15" s="133"/>
      <c r="K15" s="153" t="str">
        <f>K4</f>
        <v>Straat van Hormuz</v>
      </c>
      <c r="L15" s="153"/>
      <c r="M15" s="153"/>
      <c r="N15" s="153"/>
      <c r="O15" s="153"/>
      <c r="T15" s="133" t="str">
        <f>T4</f>
        <v>Straat van Hormuz</v>
      </c>
      <c r="U15" s="133"/>
      <c r="V15" s="133"/>
      <c r="W15" s="133"/>
      <c r="X15" s="133"/>
    </row>
    <row r="16" spans="1:33" x14ac:dyDescent="0.35">
      <c r="B16" t="e">
        <f>'Schema!!!!!!'!F4</f>
        <v>#REF!</v>
      </c>
      <c r="C16" t="str">
        <f>'Schema!!!!!!'!G4</f>
        <v>T30</v>
      </c>
      <c r="D16" t="str">
        <f>'Schema!!!!!!'!H4</f>
        <v>T28</v>
      </c>
      <c r="E16" t="str">
        <f>'Schema!!!!!!'!I4</f>
        <v>T38</v>
      </c>
      <c r="K16" s="141" t="str">
        <f>'Schema!!!!!!'!F13</f>
        <v>← (PAUZE) voor de teams hiernaast</v>
      </c>
      <c r="L16" s="142"/>
      <c r="M16" s="142"/>
      <c r="N16" s="142"/>
      <c r="O16" s="143"/>
      <c r="T16" t="str">
        <f>'Schema!!!!!!'!J26</f>
        <v>T2</v>
      </c>
      <c r="U16" t="str">
        <f>'Schema!!!!!!'!K26</f>
        <v>T7</v>
      </c>
      <c r="V16" t="str">
        <f>'Schema!!!!!!'!L26</f>
        <v>T5</v>
      </c>
      <c r="W16" t="str">
        <f>'Schema!!!!!!'!M26</f>
        <v>T6</v>
      </c>
    </row>
    <row r="17" spans="2:24" x14ac:dyDescent="0.35">
      <c r="K17" s="144"/>
      <c r="L17" s="145"/>
      <c r="M17" s="145"/>
      <c r="N17" s="145"/>
      <c r="O17" s="146"/>
    </row>
    <row r="18" spans="2:24" ht="15" thickBot="1" x14ac:dyDescent="0.4">
      <c r="B18" s="5" t="e">
        <f>B16</f>
        <v>#REF!</v>
      </c>
      <c r="C18" s="5"/>
      <c r="E18" s="5" t="str">
        <f>C16</f>
        <v>T30</v>
      </c>
      <c r="F18" s="5"/>
      <c r="K18" s="144"/>
      <c r="L18" s="145"/>
      <c r="M18" s="145"/>
      <c r="N18" s="145"/>
      <c r="O18" s="146"/>
      <c r="T18" s="5" t="str">
        <f>T16</f>
        <v>T2</v>
      </c>
      <c r="U18" s="5"/>
      <c r="W18" s="108" t="str">
        <f>U16</f>
        <v>T7</v>
      </c>
      <c r="X18" s="5"/>
    </row>
    <row r="19" spans="2:24" x14ac:dyDescent="0.35">
      <c r="B19" s="154"/>
      <c r="C19" s="155"/>
      <c r="E19" s="154"/>
      <c r="F19" s="155"/>
      <c r="K19" s="144"/>
      <c r="L19" s="145"/>
      <c r="M19" s="145"/>
      <c r="N19" s="145"/>
      <c r="O19" s="146"/>
      <c r="T19" s="154"/>
      <c r="U19" s="155"/>
      <c r="W19" s="154"/>
      <c r="X19" s="155"/>
    </row>
    <row r="20" spans="2:24" ht="15" thickBot="1" x14ac:dyDescent="0.4">
      <c r="B20" s="156"/>
      <c r="C20" s="157"/>
      <c r="E20" s="156"/>
      <c r="F20" s="157"/>
      <c r="K20" s="147"/>
      <c r="L20" s="148"/>
      <c r="M20" s="148"/>
      <c r="N20" s="148"/>
      <c r="O20" s="149"/>
      <c r="T20" s="156"/>
      <c r="U20" s="157"/>
      <c r="W20" s="156"/>
      <c r="X20" s="157"/>
    </row>
    <row r="21" spans="2:24" ht="15" thickBot="1" x14ac:dyDescent="0.4">
      <c r="B21" s="6" t="str">
        <f>D16</f>
        <v>T28</v>
      </c>
      <c r="C21" s="6"/>
      <c r="E21" s="6" t="str">
        <f>E16</f>
        <v>T38</v>
      </c>
      <c r="F21" s="6"/>
      <c r="T21" s="6" t="str">
        <f>V16</f>
        <v>T5</v>
      </c>
      <c r="U21" s="6"/>
      <c r="W21" s="6" t="str">
        <f>W16</f>
        <v>T6</v>
      </c>
      <c r="X21" s="6"/>
    </row>
    <row r="22" spans="2:24" x14ac:dyDescent="0.35">
      <c r="B22" s="154"/>
      <c r="C22" s="155"/>
      <c r="E22" s="154"/>
      <c r="F22" s="155"/>
      <c r="T22" s="154"/>
      <c r="U22" s="155"/>
      <c r="W22" s="154"/>
      <c r="X22" s="155"/>
    </row>
    <row r="23" spans="2:24" ht="15" thickBot="1" x14ac:dyDescent="0.4">
      <c r="B23" s="156"/>
      <c r="C23" s="157"/>
      <c r="E23" s="156"/>
      <c r="F23" s="157"/>
      <c r="T23" s="156"/>
      <c r="U23" s="157"/>
      <c r="W23" s="156"/>
      <c r="X23" s="157"/>
    </row>
    <row r="28" spans="2:24" x14ac:dyDescent="0.35">
      <c r="B28" s="133" t="str">
        <f>'Schema!!!!!!'!J1</f>
        <v>ronde 3</v>
      </c>
      <c r="C28" s="133"/>
      <c r="D28" s="133"/>
      <c r="E28" s="133"/>
      <c r="F28" s="133"/>
      <c r="K28" s="133" t="str">
        <f>'Schema!!!!!!'!B23</f>
        <v>ronde 6</v>
      </c>
      <c r="L28" s="133"/>
      <c r="M28" s="133"/>
      <c r="N28" s="133"/>
      <c r="O28" s="133"/>
      <c r="T28" s="133" t="str">
        <f>'Schema!!!!!!'!B34</f>
        <v>ronde 9</v>
      </c>
      <c r="U28" s="133"/>
      <c r="V28" s="133"/>
      <c r="W28" s="133"/>
      <c r="X28" s="133"/>
    </row>
    <row r="29" spans="2:24" x14ac:dyDescent="0.35">
      <c r="B29" s="4" t="str">
        <f>B4</f>
        <v>Straat van Hormuz</v>
      </c>
      <c r="C29" s="4"/>
      <c r="D29" s="4"/>
      <c r="E29" s="4"/>
      <c r="F29" s="4"/>
      <c r="K29" s="133" t="str">
        <f>K4</f>
        <v>Straat van Hormuz</v>
      </c>
      <c r="L29" s="133"/>
      <c r="M29" s="133"/>
      <c r="N29" s="133"/>
      <c r="O29" s="133"/>
      <c r="T29" s="133" t="str">
        <f>T15</f>
        <v>Straat van Hormuz</v>
      </c>
      <c r="U29" s="133"/>
      <c r="V29" s="133"/>
      <c r="W29" s="133"/>
      <c r="X29" s="133"/>
    </row>
    <row r="30" spans="2:24" x14ac:dyDescent="0.35">
      <c r="B30" t="str">
        <f>'Schema!!!!!!'!J4</f>
        <v>T10</v>
      </c>
      <c r="C30" t="str">
        <f>'Schema!!!!!!'!K4</f>
        <v>T21</v>
      </c>
      <c r="D30" t="str">
        <f>'Schema!!!!!!'!L4</f>
        <v>T31</v>
      </c>
      <c r="E30" t="str">
        <f>'Schema!!!!!!'!M4</f>
        <v>T39</v>
      </c>
      <c r="K30" t="str">
        <f>'Schema!!!!!!'!B26</f>
        <v>T15</v>
      </c>
      <c r="L30" t="str">
        <f>'Schema!!!!!!'!C26</f>
        <v>T4</v>
      </c>
      <c r="M30" t="str">
        <f>'Schema!!!!!!'!D26</f>
        <v>T11</v>
      </c>
      <c r="N30" t="str">
        <f>'Schema!!!!!!'!E26</f>
        <v>T31</v>
      </c>
      <c r="T30" t="str">
        <f>'Schema!!!!!!'!B37</f>
        <v>T34</v>
      </c>
      <c r="U30" t="str">
        <f>'Schema!!!!!!'!C37</f>
        <v>T8</v>
      </c>
      <c r="V30" t="str">
        <f>'Schema!!!!!!'!D37</f>
        <v>T9</v>
      </c>
      <c r="W30" t="str">
        <f>'Schema!!!!!!'!E37</f>
        <v>T3</v>
      </c>
    </row>
    <row r="32" spans="2:24" ht="15" thickBot="1" x14ac:dyDescent="0.4">
      <c r="B32" s="5" t="str">
        <f>B30</f>
        <v>T10</v>
      </c>
      <c r="C32" s="5"/>
      <c r="E32" s="5" t="str">
        <f>C30</f>
        <v>T21</v>
      </c>
      <c r="F32" s="5"/>
      <c r="K32" s="5" t="str">
        <f>K30</f>
        <v>T15</v>
      </c>
      <c r="L32" s="5"/>
      <c r="N32" s="5" t="str">
        <f>L30</f>
        <v>T4</v>
      </c>
      <c r="O32" s="5"/>
      <c r="T32" s="135" t="str">
        <f>T30</f>
        <v>T34</v>
      </c>
      <c r="U32" s="135"/>
      <c r="W32" s="135" t="str">
        <f>U30</f>
        <v>T8</v>
      </c>
      <c r="X32" s="135"/>
    </row>
    <row r="33" spans="2:24" ht="15" thickBot="1" x14ac:dyDescent="0.4">
      <c r="B33" s="154"/>
      <c r="C33" s="155"/>
      <c r="E33" s="154"/>
      <c r="F33" s="155"/>
      <c r="K33" s="154"/>
      <c r="L33" s="155"/>
      <c r="N33" s="154"/>
      <c r="O33" s="155"/>
      <c r="T33" s="132"/>
      <c r="U33" s="132"/>
      <c r="W33" s="132"/>
      <c r="X33" s="132"/>
    </row>
    <row r="34" spans="2:24" ht="15" thickBot="1" x14ac:dyDescent="0.4">
      <c r="B34" s="156"/>
      <c r="C34" s="157"/>
      <c r="E34" s="156"/>
      <c r="F34" s="157"/>
      <c r="K34" s="156"/>
      <c r="L34" s="157"/>
      <c r="N34" s="156"/>
      <c r="O34" s="157"/>
      <c r="T34" s="132"/>
      <c r="U34" s="132"/>
      <c r="W34" s="132"/>
      <c r="X34" s="132"/>
    </row>
    <row r="35" spans="2:24" ht="15" thickBot="1" x14ac:dyDescent="0.4">
      <c r="B35" s="6" t="str">
        <f>D30</f>
        <v>T31</v>
      </c>
      <c r="C35" s="6"/>
      <c r="E35" s="6" t="str">
        <f>E30</f>
        <v>T39</v>
      </c>
      <c r="F35" s="6"/>
      <c r="K35" s="6" t="str">
        <f>M30</f>
        <v>T11</v>
      </c>
      <c r="L35" s="6"/>
      <c r="N35" s="6" t="str">
        <f>N30</f>
        <v>T31</v>
      </c>
      <c r="O35" s="6"/>
      <c r="T35" s="134" t="str">
        <f>V30</f>
        <v>T9</v>
      </c>
      <c r="U35" s="134"/>
      <c r="W35" s="134" t="str">
        <f>W30</f>
        <v>T3</v>
      </c>
      <c r="X35" s="134"/>
    </row>
    <row r="36" spans="2:24" ht="15" thickBot="1" x14ac:dyDescent="0.4">
      <c r="B36" s="154"/>
      <c r="C36" s="155"/>
      <c r="E36" s="154"/>
      <c r="F36" s="155"/>
      <c r="K36" s="154"/>
      <c r="L36" s="155"/>
      <c r="N36" s="154"/>
      <c r="O36" s="155"/>
      <c r="T36" s="132"/>
      <c r="U36" s="132"/>
      <c r="W36" s="132"/>
      <c r="X36" s="132"/>
    </row>
    <row r="37" spans="2:24" ht="15" thickBot="1" x14ac:dyDescent="0.4">
      <c r="B37" s="156"/>
      <c r="C37" s="157"/>
      <c r="E37" s="156"/>
      <c r="F37" s="157"/>
      <c r="K37" s="156"/>
      <c r="L37" s="157"/>
      <c r="N37" s="156"/>
      <c r="O37" s="157"/>
      <c r="T37" s="132"/>
      <c r="U37" s="132"/>
      <c r="W37" s="132"/>
      <c r="X37" s="132"/>
    </row>
    <row r="38" spans="2:24" x14ac:dyDescent="0.35">
      <c r="B38" s="12"/>
      <c r="C38" s="12"/>
      <c r="D38" s="12"/>
      <c r="E38" s="12"/>
      <c r="F38" s="12"/>
    </row>
    <row r="39" spans="2:24" x14ac:dyDescent="0.35">
      <c r="B39" s="12"/>
      <c r="C39" s="12"/>
      <c r="D39" s="12"/>
      <c r="E39" s="12"/>
      <c r="F39" s="12"/>
    </row>
    <row r="40" spans="2:24" x14ac:dyDescent="0.35">
      <c r="B40" s="12"/>
      <c r="C40" s="12"/>
      <c r="D40" s="12"/>
      <c r="E40" s="12"/>
      <c r="F40" s="12"/>
    </row>
    <row r="41" spans="2:24" x14ac:dyDescent="0.35">
      <c r="B41" s="12"/>
      <c r="C41" s="12"/>
      <c r="D41" s="12"/>
      <c r="E41" s="12"/>
      <c r="F41" s="12"/>
    </row>
    <row r="42" spans="2:24" x14ac:dyDescent="0.35">
      <c r="B42" s="12"/>
      <c r="C42" s="12"/>
      <c r="D42" s="12"/>
      <c r="E42" s="12"/>
      <c r="F42" s="12"/>
    </row>
  </sheetData>
  <mergeCells count="66">
    <mergeCell ref="AC3:AG3"/>
    <mergeCell ref="AC4:AG4"/>
    <mergeCell ref="AC8:AD9"/>
    <mergeCell ref="AF8:AG9"/>
    <mergeCell ref="AC11:AD12"/>
    <mergeCell ref="AF11:AG12"/>
    <mergeCell ref="B1:F1"/>
    <mergeCell ref="K1:O1"/>
    <mergeCell ref="T1:X1"/>
    <mergeCell ref="B2:F2"/>
    <mergeCell ref="K2:O2"/>
    <mergeCell ref="T2:X2"/>
    <mergeCell ref="T3:X3"/>
    <mergeCell ref="K3:O3"/>
    <mergeCell ref="B3:F3"/>
    <mergeCell ref="K33:L34"/>
    <mergeCell ref="N33:O34"/>
    <mergeCell ref="B33:C34"/>
    <mergeCell ref="E33:F34"/>
    <mergeCell ref="K29:O29"/>
    <mergeCell ref="K14:O14"/>
    <mergeCell ref="K11:L12"/>
    <mergeCell ref="N11:O12"/>
    <mergeCell ref="B11:C12"/>
    <mergeCell ref="E11:F12"/>
    <mergeCell ref="T11:U12"/>
    <mergeCell ref="W11:X12"/>
    <mergeCell ref="K8:L9"/>
    <mergeCell ref="B19:C20"/>
    <mergeCell ref="B22:C23"/>
    <mergeCell ref="E19:F20"/>
    <mergeCell ref="E22:F23"/>
    <mergeCell ref="T4:X4"/>
    <mergeCell ref="K4:O4"/>
    <mergeCell ref="B4:F4"/>
    <mergeCell ref="N8:O9"/>
    <mergeCell ref="E8:F9"/>
    <mergeCell ref="B8:C9"/>
    <mergeCell ref="T8:U9"/>
    <mergeCell ref="W8:X9"/>
    <mergeCell ref="B36:C37"/>
    <mergeCell ref="E36:F37"/>
    <mergeCell ref="K36:L37"/>
    <mergeCell ref="N36:O37"/>
    <mergeCell ref="T14:X14"/>
    <mergeCell ref="T15:X15"/>
    <mergeCell ref="T19:U20"/>
    <mergeCell ref="T22:U23"/>
    <mergeCell ref="W19:X20"/>
    <mergeCell ref="W22:X23"/>
    <mergeCell ref="K15:O15"/>
    <mergeCell ref="K16:O20"/>
    <mergeCell ref="B14:F14"/>
    <mergeCell ref="B15:F15"/>
    <mergeCell ref="B28:F28"/>
    <mergeCell ref="K28:O28"/>
    <mergeCell ref="T35:U35"/>
    <mergeCell ref="W35:X35"/>
    <mergeCell ref="T36:U37"/>
    <mergeCell ref="W36:X37"/>
    <mergeCell ref="T28:X28"/>
    <mergeCell ref="T29:X29"/>
    <mergeCell ref="T32:U32"/>
    <mergeCell ref="W32:X32"/>
    <mergeCell ref="T33:U34"/>
    <mergeCell ref="W33:X34"/>
  </mergeCells>
  <pageMargins left="0.70000000000000007" right="0.70000000000000007" top="0.75" bottom="0.75" header="0.30000000000000004" footer="0.30000000000000004"/>
  <pageSetup paperSize="9" orientation="portrait" r:id="rId1"/>
  <colBreaks count="2" manualBreakCount="2">
    <brk id="17" max="1048575" man="1"/>
    <brk id="2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42"/>
  <sheetViews>
    <sheetView view="pageBreakPreview" topLeftCell="G1" zoomScale="60" zoomScaleNormal="70" workbookViewId="0">
      <selection activeCell="AE36" sqref="AE36"/>
    </sheetView>
  </sheetViews>
  <sheetFormatPr defaultRowHeight="14.5" x14ac:dyDescent="0.35"/>
  <cols>
    <col min="1" max="3" width="8.81640625" customWidth="1"/>
    <col min="4" max="4" width="17.81640625" customWidth="1"/>
    <col min="5" max="5" width="8.81640625" customWidth="1"/>
    <col min="27" max="27" width="8.54296875" customWidth="1"/>
  </cols>
  <sheetData>
    <row r="1" spans="1:33" x14ac:dyDescent="0.35">
      <c r="A1" s="3"/>
      <c r="B1" s="133"/>
      <c r="C1" s="133"/>
      <c r="D1" s="133"/>
      <c r="E1" s="133"/>
      <c r="F1" s="133"/>
      <c r="K1" s="133"/>
      <c r="L1" s="133"/>
      <c r="M1" s="133"/>
      <c r="N1" s="133"/>
      <c r="O1" s="133"/>
      <c r="S1" s="3"/>
      <c r="T1" s="133"/>
      <c r="U1" s="133"/>
      <c r="V1" s="133"/>
      <c r="W1" s="133"/>
      <c r="X1" s="133"/>
    </row>
    <row r="2" spans="1:33" x14ac:dyDescent="0.35">
      <c r="B2" s="133"/>
      <c r="C2" s="133"/>
      <c r="D2" s="133"/>
      <c r="E2" s="133"/>
      <c r="F2" s="133"/>
      <c r="K2" s="133"/>
      <c r="L2" s="133"/>
      <c r="M2" s="133"/>
      <c r="N2" s="133"/>
      <c r="O2" s="133"/>
      <c r="T2" s="133"/>
      <c r="U2" s="133"/>
      <c r="V2" s="133"/>
      <c r="W2" s="133"/>
      <c r="X2" s="133"/>
    </row>
    <row r="3" spans="1:33" x14ac:dyDescent="0.35">
      <c r="B3" s="133"/>
      <c r="C3" s="133"/>
      <c r="D3" s="133"/>
      <c r="E3" s="133"/>
      <c r="F3" s="133"/>
      <c r="K3" s="133"/>
      <c r="L3" s="133"/>
      <c r="M3" s="133"/>
      <c r="N3" s="133"/>
      <c r="O3" s="133"/>
      <c r="S3" s="3"/>
      <c r="T3" s="133"/>
      <c r="U3" s="133"/>
      <c r="V3" s="133"/>
      <c r="W3" s="133"/>
      <c r="X3" s="133"/>
    </row>
    <row r="4" spans="1:33" x14ac:dyDescent="0.35">
      <c r="B4" s="133" t="str">
        <f>'Schema!!!!!!'!B1</f>
        <v>ronde 1</v>
      </c>
      <c r="C4" s="133"/>
      <c r="D4" s="133"/>
      <c r="E4" s="133"/>
      <c r="F4" s="133"/>
      <c r="K4" s="133" t="str">
        <f>'Schema!!!!!!'!B12</f>
        <v>ronde 4</v>
      </c>
      <c r="L4" s="133"/>
      <c r="M4" s="133"/>
      <c r="N4" s="133"/>
      <c r="O4" s="133"/>
      <c r="S4" s="3"/>
      <c r="T4" s="133" t="str">
        <f>'Schema!!!!!!'!F23</f>
        <v>ronde 7</v>
      </c>
      <c r="U4" s="133"/>
      <c r="V4" s="133"/>
      <c r="W4" s="133"/>
      <c r="X4" s="133"/>
      <c r="AC4" s="133" t="str">
        <f>'Schema!!!!!!'!F34</f>
        <v>ronde 10</v>
      </c>
      <c r="AD4" s="133"/>
      <c r="AE4" s="133"/>
      <c r="AF4" s="133"/>
      <c r="AG4" s="133"/>
    </row>
    <row r="5" spans="1:33" x14ac:dyDescent="0.35">
      <c r="B5" s="133" t="str">
        <f>'Schema!!!!!!'!A16</f>
        <v>Red Claes Compaen</v>
      </c>
      <c r="C5" s="133"/>
      <c r="D5" s="133"/>
      <c r="E5" s="133"/>
      <c r="F5" s="133"/>
      <c r="K5" s="133" t="str">
        <f>B5</f>
        <v>Red Claes Compaen</v>
      </c>
      <c r="L5" s="133"/>
      <c r="M5" s="133"/>
      <c r="N5" s="133"/>
      <c r="O5" s="133"/>
      <c r="T5" s="133" t="str">
        <f>K5</f>
        <v>Red Claes Compaen</v>
      </c>
      <c r="U5" s="133"/>
      <c r="V5" s="133"/>
      <c r="W5" s="133"/>
      <c r="X5" s="133"/>
      <c r="AC5" s="133" t="str">
        <f>T5</f>
        <v>Red Claes Compaen</v>
      </c>
      <c r="AD5" s="133"/>
      <c r="AE5" s="133"/>
      <c r="AF5" s="133"/>
      <c r="AG5" s="133"/>
    </row>
    <row r="6" spans="1:33" x14ac:dyDescent="0.35">
      <c r="B6" t="str">
        <f>'Schema!!!!!!'!B5</f>
        <v>T16</v>
      </c>
      <c r="C6" t="str">
        <f>'Schema!!!!!!'!C5</f>
        <v>T30</v>
      </c>
      <c r="D6" t="str">
        <f>'Schema!!!!!!'!D5</f>
        <v>T38</v>
      </c>
      <c r="E6" t="str">
        <f>'Schema!!!!!!'!E5</f>
        <v>T39</v>
      </c>
      <c r="K6" t="str">
        <f>'Schema!!!!!!'!B16</f>
        <v>T10</v>
      </c>
      <c r="L6" t="str">
        <f>'Schema!!!!!!'!C16</f>
        <v>T19</v>
      </c>
      <c r="M6" t="str">
        <f>'Schema!!!!!!'!D16</f>
        <v>T28</v>
      </c>
      <c r="N6" t="str">
        <f>'Schema!!!!!!'!E16</f>
        <v>T38</v>
      </c>
      <c r="T6" t="str">
        <f>'Schema!!!!!!'!F27</f>
        <v>T15</v>
      </c>
      <c r="U6" t="str">
        <f>'Schema!!!!!!'!G27</f>
        <v>T7</v>
      </c>
      <c r="V6" t="str">
        <f>'Schema!!!!!!'!H27</f>
        <v>T9</v>
      </c>
      <c r="W6" t="str">
        <f>'Schema!!!!!!'!I27</f>
        <v>T6</v>
      </c>
      <c r="AC6" t="str">
        <f>'Schema!!!!!!'!F38</f>
        <v>T34</v>
      </c>
      <c r="AD6" t="str">
        <f>'Schema!!!!!!'!G38</f>
        <v>T7</v>
      </c>
      <c r="AE6" t="str">
        <f>'Schema!!!!!!'!H38</f>
        <v>T12</v>
      </c>
      <c r="AF6" t="str">
        <f>'Schema!!!!!!'!I38</f>
        <v>T31</v>
      </c>
    </row>
    <row r="8" spans="1:33" ht="15" thickBot="1" x14ac:dyDescent="0.4">
      <c r="B8" s="5" t="str">
        <f>B6</f>
        <v>T16</v>
      </c>
      <c r="C8" s="5"/>
      <c r="E8" s="5" t="str">
        <f>C6</f>
        <v>T30</v>
      </c>
      <c r="F8" s="5"/>
      <c r="K8" s="5" t="str">
        <f>K6</f>
        <v>T10</v>
      </c>
      <c r="L8" s="5"/>
      <c r="N8" s="5" t="str">
        <f>L6</f>
        <v>T19</v>
      </c>
      <c r="O8" s="5"/>
      <c r="T8" s="5" t="str">
        <f>T6</f>
        <v>T15</v>
      </c>
      <c r="U8" s="5"/>
      <c r="W8" s="5" t="str">
        <f>U6</f>
        <v>T7</v>
      </c>
      <c r="X8" s="5"/>
      <c r="AC8" s="135" t="str">
        <f>AC6</f>
        <v>T34</v>
      </c>
      <c r="AD8" s="135"/>
      <c r="AF8" s="135" t="str">
        <f>AD6</f>
        <v>T7</v>
      </c>
      <c r="AG8" s="135"/>
    </row>
    <row r="9" spans="1:33" ht="15" thickBot="1" x14ac:dyDescent="0.4">
      <c r="B9" s="7"/>
      <c r="C9" s="9"/>
      <c r="E9" s="7"/>
      <c r="F9" s="9"/>
      <c r="K9" s="7"/>
      <c r="L9" s="9"/>
      <c r="N9" s="7"/>
      <c r="O9" s="9"/>
      <c r="T9" s="7"/>
      <c r="U9" s="9"/>
      <c r="W9" s="7"/>
      <c r="X9" s="9"/>
      <c r="AC9" s="132"/>
      <c r="AD9" s="132"/>
      <c r="AF9" s="132"/>
      <c r="AG9" s="132"/>
    </row>
    <row r="10" spans="1:33" ht="15" thickBot="1" x14ac:dyDescent="0.4">
      <c r="B10" s="10"/>
      <c r="C10" s="11"/>
      <c r="E10" s="10"/>
      <c r="F10" s="11"/>
      <c r="K10" s="10"/>
      <c r="L10" s="11"/>
      <c r="N10" s="10"/>
      <c r="O10" s="11"/>
      <c r="T10" s="10"/>
      <c r="U10" s="11"/>
      <c r="W10" s="10"/>
      <c r="X10" s="11"/>
      <c r="AC10" s="132"/>
      <c r="AD10" s="132"/>
      <c r="AF10" s="132"/>
      <c r="AG10" s="132"/>
    </row>
    <row r="11" spans="1:33" ht="15" thickBot="1" x14ac:dyDescent="0.4">
      <c r="B11" s="6" t="str">
        <f>D6</f>
        <v>T38</v>
      </c>
      <c r="C11" s="6"/>
      <c r="E11" s="6" t="str">
        <f>E6</f>
        <v>T39</v>
      </c>
      <c r="F11" s="6"/>
      <c r="K11" s="6" t="str">
        <f>M6</f>
        <v>T28</v>
      </c>
      <c r="L11" s="6"/>
      <c r="N11" s="6" t="str">
        <f>N6</f>
        <v>T38</v>
      </c>
      <c r="O11" s="6"/>
      <c r="T11" s="6" t="str">
        <f>V6</f>
        <v>T9</v>
      </c>
      <c r="U11" s="6"/>
      <c r="W11" s="6" t="str">
        <f>W6</f>
        <v>T6</v>
      </c>
      <c r="X11" s="6"/>
      <c r="AC11" s="134" t="str">
        <f>AE6</f>
        <v>T12</v>
      </c>
      <c r="AD11" s="134"/>
      <c r="AF11" s="134" t="str">
        <f>AF6</f>
        <v>T31</v>
      </c>
      <c r="AG11" s="134"/>
    </row>
    <row r="12" spans="1:33" ht="15" thickBot="1" x14ac:dyDescent="0.4">
      <c r="B12" s="7"/>
      <c r="C12" s="9"/>
      <c r="E12" s="7"/>
      <c r="F12" s="9"/>
      <c r="K12" s="7"/>
      <c r="L12" s="9"/>
      <c r="N12" s="7"/>
      <c r="O12" s="9"/>
      <c r="T12" s="7"/>
      <c r="U12" s="9"/>
      <c r="W12" s="7"/>
      <c r="X12" s="9"/>
      <c r="AC12" s="132"/>
      <c r="AD12" s="132"/>
      <c r="AF12" s="132"/>
      <c r="AG12" s="132"/>
    </row>
    <row r="13" spans="1:33" ht="15" thickBot="1" x14ac:dyDescent="0.4">
      <c r="B13" s="10"/>
      <c r="C13" s="11"/>
      <c r="E13" s="10"/>
      <c r="F13" s="11"/>
      <c r="K13" s="10"/>
      <c r="L13" s="11"/>
      <c r="N13" s="10"/>
      <c r="O13" s="11"/>
      <c r="T13" s="10"/>
      <c r="U13" s="11"/>
      <c r="W13" s="10"/>
      <c r="X13" s="11"/>
      <c r="AC13" s="132"/>
      <c r="AD13" s="132"/>
      <c r="AF13" s="132"/>
      <c r="AG13" s="132"/>
    </row>
    <row r="14" spans="1:33" x14ac:dyDescent="0.35">
      <c r="B14" s="8"/>
      <c r="C14" s="8"/>
      <c r="E14" s="8"/>
      <c r="F14" s="8"/>
      <c r="K14" s="8"/>
      <c r="L14" s="8"/>
      <c r="N14" s="8"/>
      <c r="O14" s="8"/>
      <c r="T14" s="8"/>
      <c r="U14" s="8"/>
      <c r="W14" s="8"/>
      <c r="X14" s="8"/>
    </row>
    <row r="15" spans="1:33" x14ac:dyDescent="0.35">
      <c r="B15" s="133" t="str">
        <f>'Schema!!!!!!'!F1</f>
        <v>ronde 2</v>
      </c>
      <c r="C15" s="133"/>
      <c r="D15" s="133"/>
      <c r="E15" s="133"/>
      <c r="F15" s="133"/>
      <c r="K15" s="133" t="str">
        <f>'Schema!!!!!!'!F12</f>
        <v>ronde 5</v>
      </c>
      <c r="L15" s="133"/>
      <c r="M15" s="133"/>
      <c r="N15" s="133"/>
      <c r="O15" s="133"/>
      <c r="T15" s="133" t="str">
        <f>'Schema!!!!!!'!J23</f>
        <v>ronde 8</v>
      </c>
      <c r="U15" s="133"/>
      <c r="V15" s="133"/>
      <c r="W15" s="133"/>
      <c r="X15" s="133"/>
    </row>
    <row r="16" spans="1:33" ht="14.5" customHeight="1" thickBot="1" x14ac:dyDescent="0.4">
      <c r="B16" s="133" t="str">
        <f>B5</f>
        <v>Red Claes Compaen</v>
      </c>
      <c r="C16" s="133"/>
      <c r="D16" s="133"/>
      <c r="E16" s="133"/>
      <c r="F16" s="133"/>
      <c r="K16" s="153" t="str">
        <f>K5</f>
        <v>Red Claes Compaen</v>
      </c>
      <c r="L16" s="153"/>
      <c r="M16" s="153"/>
      <c r="N16" s="153"/>
      <c r="O16" s="153"/>
      <c r="T16" s="133" t="str">
        <f>T5</f>
        <v>Red Claes Compaen</v>
      </c>
      <c r="U16" s="133"/>
      <c r="V16" s="133"/>
      <c r="W16" s="133"/>
      <c r="X16" s="133"/>
    </row>
    <row r="17" spans="2:24" ht="14.5" customHeight="1" x14ac:dyDescent="0.35">
      <c r="B17" t="str">
        <f>'Schema!!!!!!'!F5</f>
        <v>T14</v>
      </c>
      <c r="C17" t="str">
        <f>'Schema!!!!!!'!G5</f>
        <v>T21</v>
      </c>
      <c r="D17" t="str">
        <f>'Schema!!!!!!'!H5</f>
        <v>T31</v>
      </c>
      <c r="E17" t="str">
        <f>'Schema!!!!!!'!I5</f>
        <v>T35</v>
      </c>
      <c r="K17" s="141" t="str">
        <f>'Schema!!!!!!'!F13</f>
        <v>← (PAUZE) voor de teams hiernaast</v>
      </c>
      <c r="L17" s="142"/>
      <c r="M17" s="142"/>
      <c r="N17" s="142"/>
      <c r="O17" s="143"/>
      <c r="T17" t="str">
        <f>'Schema!!!!!!'!J27</f>
        <v>T1</v>
      </c>
      <c r="U17" t="str">
        <f>'Schema!!!!!!'!K27</f>
        <v>T8</v>
      </c>
      <c r="V17" t="str">
        <f>'Schema!!!!!!'!L27</f>
        <v>T25</v>
      </c>
      <c r="W17" t="str">
        <f>'Schema!!!!!!'!M27</f>
        <v>T3</v>
      </c>
    </row>
    <row r="18" spans="2:24" ht="15" customHeight="1" x14ac:dyDescent="0.35">
      <c r="K18" s="144"/>
      <c r="L18" s="145"/>
      <c r="M18" s="145"/>
      <c r="N18" s="145"/>
      <c r="O18" s="146"/>
    </row>
    <row r="19" spans="2:24" ht="14.5" customHeight="1" thickBot="1" x14ac:dyDescent="0.4">
      <c r="B19" s="5" t="str">
        <f>B17</f>
        <v>T14</v>
      </c>
      <c r="C19" s="5"/>
      <c r="E19" s="5" t="str">
        <f>C17</f>
        <v>T21</v>
      </c>
      <c r="F19" s="5"/>
      <c r="K19" s="144"/>
      <c r="L19" s="145"/>
      <c r="M19" s="145"/>
      <c r="N19" s="145"/>
      <c r="O19" s="146"/>
      <c r="T19" s="5" t="str">
        <f>T17</f>
        <v>T1</v>
      </c>
      <c r="U19" s="5"/>
      <c r="W19" s="5" t="str">
        <f>U17</f>
        <v>T8</v>
      </c>
      <c r="X19" s="5"/>
    </row>
    <row r="20" spans="2:24" ht="15" customHeight="1" x14ac:dyDescent="0.35">
      <c r="B20" s="7"/>
      <c r="C20" s="9"/>
      <c r="E20" s="7"/>
      <c r="F20" s="9"/>
      <c r="K20" s="144"/>
      <c r="L20" s="145"/>
      <c r="M20" s="145"/>
      <c r="N20" s="145"/>
      <c r="O20" s="146"/>
      <c r="T20" s="7"/>
      <c r="U20" s="9"/>
      <c r="W20" s="7"/>
      <c r="X20" s="9"/>
    </row>
    <row r="21" spans="2:24" ht="15" thickBot="1" x14ac:dyDescent="0.4">
      <c r="B21" s="10"/>
      <c r="C21" s="11"/>
      <c r="E21" s="10"/>
      <c r="F21" s="11"/>
      <c r="K21" s="147"/>
      <c r="L21" s="148"/>
      <c r="M21" s="148"/>
      <c r="N21" s="148"/>
      <c r="O21" s="149"/>
      <c r="T21" s="10"/>
      <c r="U21" s="11"/>
      <c r="W21" s="10"/>
      <c r="X21" s="11"/>
    </row>
    <row r="22" spans="2:24" ht="15" thickBot="1" x14ac:dyDescent="0.4">
      <c r="B22" s="6" t="str">
        <f>D17</f>
        <v>T31</v>
      </c>
      <c r="C22" s="6"/>
      <c r="E22" s="6" t="str">
        <f>E17</f>
        <v>T35</v>
      </c>
      <c r="F22" s="6"/>
      <c r="T22" s="6" t="str">
        <f>V17</f>
        <v>T25</v>
      </c>
      <c r="U22" s="6"/>
      <c r="W22" s="6" t="str">
        <f>W17</f>
        <v>T3</v>
      </c>
      <c r="X22" s="6"/>
    </row>
    <row r="23" spans="2:24" x14ac:dyDescent="0.35">
      <c r="B23" s="7"/>
      <c r="C23" s="9"/>
      <c r="E23" s="7"/>
      <c r="F23" s="9"/>
      <c r="T23" s="7"/>
      <c r="U23" s="9"/>
      <c r="W23" s="7"/>
      <c r="X23" s="9"/>
    </row>
    <row r="24" spans="2:24" ht="15" thickBot="1" x14ac:dyDescent="0.4">
      <c r="B24" s="10"/>
      <c r="C24" s="11"/>
      <c r="E24" s="10"/>
      <c r="F24" s="11"/>
      <c r="T24" s="10"/>
      <c r="U24" s="11"/>
      <c r="W24" s="10"/>
      <c r="X24" s="11"/>
    </row>
    <row r="29" spans="2:24" x14ac:dyDescent="0.35">
      <c r="B29" s="133" t="str">
        <f>'Schema!!!!!!'!J1</f>
        <v>ronde 3</v>
      </c>
      <c r="C29" s="133"/>
      <c r="D29" s="133"/>
      <c r="E29" s="133"/>
      <c r="F29" s="133"/>
      <c r="K29" s="133" t="str">
        <f>'Schema!!!!!!'!B23</f>
        <v>ronde 6</v>
      </c>
      <c r="L29" s="133"/>
      <c r="M29" s="133"/>
      <c r="N29" s="133"/>
      <c r="O29" s="133"/>
      <c r="T29" s="133" t="str">
        <f>'Schema!!!!!!'!B34</f>
        <v>ronde 9</v>
      </c>
      <c r="U29" s="133"/>
      <c r="V29" s="133"/>
      <c r="W29" s="133"/>
      <c r="X29" s="133"/>
    </row>
    <row r="30" spans="2:24" x14ac:dyDescent="0.35">
      <c r="B30" s="133" t="str">
        <f>B5</f>
        <v>Red Claes Compaen</v>
      </c>
      <c r="C30" s="133"/>
      <c r="D30" s="133"/>
      <c r="E30" s="133"/>
      <c r="F30" s="133"/>
      <c r="K30" s="133" t="str">
        <f>K5</f>
        <v>Red Claes Compaen</v>
      </c>
      <c r="L30" s="133"/>
      <c r="M30" s="133"/>
      <c r="N30" s="133"/>
      <c r="O30" s="133"/>
      <c r="T30" s="133" t="str">
        <f>T16</f>
        <v>Red Claes Compaen</v>
      </c>
      <c r="U30" s="133"/>
      <c r="V30" s="133"/>
      <c r="W30" s="133"/>
      <c r="X30" s="133"/>
    </row>
    <row r="31" spans="2:24" x14ac:dyDescent="0.35">
      <c r="B31" t="e">
        <f>'Schema!!!!!!'!J5</f>
        <v>#REF!</v>
      </c>
      <c r="C31" t="str">
        <f>'Schema!!!!!!'!K5</f>
        <v>T27</v>
      </c>
      <c r="D31" t="str">
        <f>'Schema!!!!!!'!L5</f>
        <v>T20</v>
      </c>
      <c r="E31" t="str">
        <f>'Schema!!!!!!'!M5</f>
        <v>T26</v>
      </c>
      <c r="K31" t="str">
        <f>'Schema!!!!!!'!B27</f>
        <v>T37</v>
      </c>
      <c r="L31" t="str">
        <f>'Schema!!!!!!'!C27</f>
        <v>T24</v>
      </c>
      <c r="M31" t="str">
        <f>'Schema!!!!!!'!D27</f>
        <v>T5</v>
      </c>
      <c r="N31" t="str">
        <f>'Schema!!!!!!'!E27</f>
        <v>T23</v>
      </c>
      <c r="T31" t="str">
        <f>'Schema!!!!!!'!B38</f>
        <v>T2</v>
      </c>
      <c r="U31" t="str">
        <f>'Schema!!!!!!'!C38</f>
        <v>T4</v>
      </c>
      <c r="V31" t="str">
        <f>'Schema!!!!!!'!D38</f>
        <v>T11</v>
      </c>
      <c r="W31" t="str">
        <f>'Schema!!!!!!'!E38</f>
        <v>T32</v>
      </c>
    </row>
    <row r="33" spans="2:24" ht="15" thickBot="1" x14ac:dyDescent="0.4">
      <c r="B33" s="5" t="e">
        <f>B31</f>
        <v>#REF!</v>
      </c>
      <c r="C33" s="5"/>
      <c r="E33" s="5" t="str">
        <f>C31</f>
        <v>T27</v>
      </c>
      <c r="F33" s="5"/>
      <c r="K33" s="5" t="str">
        <f>K31</f>
        <v>T37</v>
      </c>
      <c r="L33" s="5"/>
      <c r="N33" s="5" t="str">
        <f>L31</f>
        <v>T24</v>
      </c>
      <c r="O33" s="5"/>
      <c r="T33" s="135" t="str">
        <f>T31</f>
        <v>T2</v>
      </c>
      <c r="U33" s="135"/>
      <c r="W33" s="135" t="str">
        <f>U31</f>
        <v>T4</v>
      </c>
      <c r="X33" s="135"/>
    </row>
    <row r="34" spans="2:24" ht="15" thickBot="1" x14ac:dyDescent="0.4">
      <c r="B34" s="7"/>
      <c r="C34" s="9"/>
      <c r="E34" s="7"/>
      <c r="F34" s="9"/>
      <c r="K34" s="7"/>
      <c r="L34" s="9"/>
      <c r="N34" s="7"/>
      <c r="O34" s="9"/>
      <c r="T34" s="132"/>
      <c r="U34" s="132"/>
      <c r="W34" s="132"/>
      <c r="X34" s="132"/>
    </row>
    <row r="35" spans="2:24" ht="15" thickBot="1" x14ac:dyDescent="0.4">
      <c r="B35" s="10"/>
      <c r="C35" s="11"/>
      <c r="E35" s="10"/>
      <c r="F35" s="11"/>
      <c r="K35" s="10"/>
      <c r="L35" s="11"/>
      <c r="N35" s="10"/>
      <c r="O35" s="11"/>
      <c r="T35" s="132"/>
      <c r="U35" s="132"/>
      <c r="W35" s="132"/>
      <c r="X35" s="132"/>
    </row>
    <row r="36" spans="2:24" ht="15" thickBot="1" x14ac:dyDescent="0.4">
      <c r="B36" s="6" t="str">
        <f>D31</f>
        <v>T20</v>
      </c>
      <c r="C36" s="6"/>
      <c r="E36" s="6" t="str">
        <f>E31</f>
        <v>T26</v>
      </c>
      <c r="F36" s="6"/>
      <c r="K36" s="6" t="str">
        <f>M31</f>
        <v>T5</v>
      </c>
      <c r="L36" s="6"/>
      <c r="N36" s="6" t="str">
        <f>N31</f>
        <v>T23</v>
      </c>
      <c r="O36" s="6"/>
      <c r="T36" s="134" t="str">
        <f>V31</f>
        <v>T11</v>
      </c>
      <c r="U36" s="134"/>
      <c r="W36" s="134" t="str">
        <f>W31</f>
        <v>T32</v>
      </c>
      <c r="X36" s="134"/>
    </row>
    <row r="37" spans="2:24" ht="15" thickBot="1" x14ac:dyDescent="0.4">
      <c r="B37" s="7"/>
      <c r="C37" s="9"/>
      <c r="E37" s="7"/>
      <c r="F37" s="9"/>
      <c r="K37" s="7"/>
      <c r="L37" s="9"/>
      <c r="N37" s="7"/>
      <c r="O37" s="9"/>
      <c r="T37" s="132"/>
      <c r="U37" s="132"/>
      <c r="W37" s="132"/>
      <c r="X37" s="132"/>
    </row>
    <row r="38" spans="2:24" ht="15" thickBot="1" x14ac:dyDescent="0.4">
      <c r="B38" s="10"/>
      <c r="C38" s="11"/>
      <c r="E38" s="10"/>
      <c r="F38" s="11"/>
      <c r="K38" s="10"/>
      <c r="L38" s="11"/>
      <c r="N38" s="10"/>
      <c r="O38" s="11"/>
      <c r="T38" s="132"/>
      <c r="U38" s="132"/>
      <c r="W38" s="132"/>
      <c r="X38" s="132"/>
    </row>
    <row r="39" spans="2:24" x14ac:dyDescent="0.35">
      <c r="B39" s="12"/>
      <c r="C39" s="12"/>
      <c r="D39" s="12"/>
      <c r="E39" s="12"/>
      <c r="F39" s="12"/>
    </row>
    <row r="40" spans="2:24" x14ac:dyDescent="0.35">
      <c r="B40" s="12"/>
      <c r="C40" s="12"/>
      <c r="D40" s="12"/>
      <c r="E40" s="12"/>
      <c r="F40" s="12"/>
    </row>
    <row r="41" spans="2:24" x14ac:dyDescent="0.35">
      <c r="B41" s="12"/>
      <c r="C41" s="12"/>
      <c r="D41" s="12"/>
      <c r="E41" s="12"/>
      <c r="F41" s="12"/>
    </row>
    <row r="42" spans="2:24" x14ac:dyDescent="0.35">
      <c r="B42" s="12"/>
      <c r="C42" s="12"/>
      <c r="D42" s="12"/>
      <c r="E42" s="12"/>
      <c r="F42" s="12"/>
    </row>
  </sheetData>
  <mergeCells count="46">
    <mergeCell ref="AC11:AD11"/>
    <mergeCell ref="AF11:AG11"/>
    <mergeCell ref="AC12:AD13"/>
    <mergeCell ref="AF12:AG13"/>
    <mergeCell ref="AC4:AG4"/>
    <mergeCell ref="AC5:AG5"/>
    <mergeCell ref="AC8:AD8"/>
    <mergeCell ref="AF8:AG8"/>
    <mergeCell ref="AC9:AD10"/>
    <mergeCell ref="AF9:AG10"/>
    <mergeCell ref="B1:F1"/>
    <mergeCell ref="K1:O1"/>
    <mergeCell ref="T1:X1"/>
    <mergeCell ref="B2:F2"/>
    <mergeCell ref="K2:O2"/>
    <mergeCell ref="T2:X2"/>
    <mergeCell ref="B3:F3"/>
    <mergeCell ref="K3:O3"/>
    <mergeCell ref="T3:X3"/>
    <mergeCell ref="B4:F4"/>
    <mergeCell ref="K4:O4"/>
    <mergeCell ref="T4:X4"/>
    <mergeCell ref="B30:F30"/>
    <mergeCell ref="K30:O30"/>
    <mergeCell ref="T16:X16"/>
    <mergeCell ref="T29:X29"/>
    <mergeCell ref="T30:X30"/>
    <mergeCell ref="K29:O29"/>
    <mergeCell ref="T5:X5"/>
    <mergeCell ref="B16:F16"/>
    <mergeCell ref="K16:O16"/>
    <mergeCell ref="K17:O21"/>
    <mergeCell ref="B29:F29"/>
    <mergeCell ref="B5:F5"/>
    <mergeCell ref="K5:O5"/>
    <mergeCell ref="B15:F15"/>
    <mergeCell ref="K15:O15"/>
    <mergeCell ref="T15:X15"/>
    <mergeCell ref="T37:U38"/>
    <mergeCell ref="W37:X38"/>
    <mergeCell ref="T33:U33"/>
    <mergeCell ref="W33:X33"/>
    <mergeCell ref="T34:U35"/>
    <mergeCell ref="W34:X35"/>
    <mergeCell ref="T36:U36"/>
    <mergeCell ref="W36:X36"/>
  </mergeCells>
  <pageMargins left="0.70000000000000007" right="0.70000000000000007" top="0.75" bottom="0.75" header="0.30000000000000004" footer="0.30000000000000004"/>
  <pageSetup paperSize="9" orientation="portrait" r:id="rId1"/>
  <colBreaks count="2" manualBreakCount="2">
    <brk id="17" max="1048575" man="1"/>
    <brk id="2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42"/>
  <sheetViews>
    <sheetView view="pageBreakPreview" zoomScale="60" zoomScaleNormal="70" workbookViewId="0">
      <selection activeCell="J6" sqref="J6"/>
    </sheetView>
  </sheetViews>
  <sheetFormatPr defaultRowHeight="14.5" x14ac:dyDescent="0.35"/>
  <cols>
    <col min="1" max="3" width="8.81640625" customWidth="1"/>
    <col min="4" max="4" width="17.81640625" customWidth="1"/>
    <col min="5" max="5" width="8.81640625" customWidth="1"/>
    <col min="17" max="17" width="8.7265625" customWidth="1"/>
    <col min="18" max="18" width="8.54296875" customWidth="1"/>
  </cols>
  <sheetData>
    <row r="1" spans="1:33" x14ac:dyDescent="0.35">
      <c r="A1" s="3"/>
      <c r="B1" s="133" t="str">
        <f>'Schema!!!!!!'!B1</f>
        <v>ronde 1</v>
      </c>
      <c r="C1" s="133"/>
      <c r="D1" s="133"/>
      <c r="E1" s="133"/>
      <c r="F1" s="133"/>
      <c r="K1" s="133" t="str">
        <f>'Schema!!!!!!'!B12</f>
        <v>ronde 4</v>
      </c>
      <c r="L1" s="133"/>
      <c r="M1" s="133"/>
      <c r="N1" s="133"/>
      <c r="O1" s="133"/>
      <c r="S1" s="3"/>
      <c r="T1" s="133" t="str">
        <f>'Schema!!!!!!'!F23</f>
        <v>ronde 7</v>
      </c>
      <c r="U1" s="133"/>
      <c r="V1" s="133"/>
      <c r="W1" s="133"/>
      <c r="X1" s="133"/>
      <c r="AC1" s="133" t="str">
        <f>'Schema!!!!!!'!F34</f>
        <v>ronde 10</v>
      </c>
      <c r="AD1" s="133"/>
      <c r="AE1" s="133"/>
      <c r="AF1" s="133"/>
      <c r="AG1" s="133"/>
    </row>
    <row r="2" spans="1:33" x14ac:dyDescent="0.35">
      <c r="B2" s="133" t="str">
        <f>'Schema!!!!!!'!A6</f>
        <v>Nick’s Weekendspecial</v>
      </c>
      <c r="C2" s="133"/>
      <c r="D2" s="133"/>
      <c r="E2" s="133"/>
      <c r="F2" s="133"/>
      <c r="K2" s="133" t="str">
        <f>B2</f>
        <v>Nick’s Weekendspecial</v>
      </c>
      <c r="L2" s="133"/>
      <c r="M2" s="133"/>
      <c r="N2" s="133"/>
      <c r="O2" s="133"/>
      <c r="T2" s="133" t="str">
        <f>K2</f>
        <v>Nick’s Weekendspecial</v>
      </c>
      <c r="U2" s="133"/>
      <c r="V2" s="133"/>
      <c r="W2" s="133"/>
      <c r="X2" s="133"/>
      <c r="AC2" s="133" t="str">
        <f>T2</f>
        <v>Nick’s Weekendspecial</v>
      </c>
      <c r="AD2" s="133"/>
      <c r="AE2" s="133"/>
      <c r="AF2" s="133"/>
      <c r="AG2" s="133"/>
    </row>
    <row r="3" spans="1:33" x14ac:dyDescent="0.35">
      <c r="B3" t="str">
        <f>'Schema!!!!!!'!B6</f>
        <v>T2</v>
      </c>
      <c r="C3" t="str">
        <f>'Schema!!!!!!'!C6</f>
        <v>T8</v>
      </c>
      <c r="D3" t="str">
        <f>'Schema!!!!!!'!D6</f>
        <v>T11</v>
      </c>
      <c r="E3" t="str">
        <f>'Schema!!!!!!'!E6</f>
        <v>T23</v>
      </c>
      <c r="K3" t="str">
        <f>'Schema!!!!!!'!B17</f>
        <v>T12</v>
      </c>
      <c r="L3" t="str">
        <f>'Schema!!!!!!'!C17</f>
        <v>T4</v>
      </c>
      <c r="M3" t="str">
        <f>'Schema!!!!!!'!D17</f>
        <v>T5</v>
      </c>
      <c r="N3" t="str">
        <f>'Schema!!!!!!'!E17</f>
        <v>T25</v>
      </c>
      <c r="T3" t="str">
        <f>'Schema!!!!!!'!F29</f>
        <v>T14</v>
      </c>
      <c r="U3" t="str">
        <f>'Schema!!!!!!'!G29</f>
        <v>T19</v>
      </c>
      <c r="V3" t="str">
        <f>'Schema!!!!!!'!H29</f>
        <v>T31</v>
      </c>
      <c r="W3" t="str">
        <f>'Schema!!!!!!'!I29</f>
        <v>T26</v>
      </c>
    </row>
    <row r="4" spans="1:33" ht="15" thickBot="1" x14ac:dyDescent="0.4"/>
    <row r="5" spans="1:33" ht="15" thickBot="1" x14ac:dyDescent="0.4">
      <c r="B5" s="135" t="str">
        <f>B3</f>
        <v>T2</v>
      </c>
      <c r="C5" s="135"/>
      <c r="E5" s="135" t="str">
        <f>C3</f>
        <v>T8</v>
      </c>
      <c r="F5" s="135"/>
      <c r="K5" s="135" t="str">
        <f>K3</f>
        <v>T12</v>
      </c>
      <c r="L5" s="135"/>
      <c r="N5" s="135" t="str">
        <f>L3</f>
        <v>T4</v>
      </c>
      <c r="O5" s="135"/>
      <c r="T5" s="137" t="str">
        <f>T3</f>
        <v>T14</v>
      </c>
      <c r="U5" s="137"/>
      <c r="W5" s="135" t="str">
        <f>U3</f>
        <v>T19</v>
      </c>
      <c r="X5" s="135"/>
      <c r="AC5" s="141" t="s">
        <v>11</v>
      </c>
      <c r="AD5" s="142"/>
      <c r="AE5" s="142"/>
      <c r="AF5" s="142"/>
      <c r="AG5" s="143"/>
    </row>
    <row r="6" spans="1:33" ht="15" thickBot="1" x14ac:dyDescent="0.4">
      <c r="B6" s="132"/>
      <c r="C6" s="132"/>
      <c r="E6" s="132"/>
      <c r="F6" s="132"/>
      <c r="K6" s="132"/>
      <c r="L6" s="132"/>
      <c r="N6" s="132"/>
      <c r="O6" s="132"/>
      <c r="T6" s="132"/>
      <c r="U6" s="132"/>
      <c r="W6" s="132"/>
      <c r="X6" s="132"/>
      <c r="AC6" s="144"/>
      <c r="AD6" s="145"/>
      <c r="AE6" s="145"/>
      <c r="AF6" s="145"/>
      <c r="AG6" s="146"/>
    </row>
    <row r="7" spans="1:33" ht="15" thickBot="1" x14ac:dyDescent="0.4">
      <c r="B7" s="132"/>
      <c r="C7" s="132"/>
      <c r="E7" s="132"/>
      <c r="F7" s="132"/>
      <c r="K7" s="132"/>
      <c r="L7" s="132"/>
      <c r="N7" s="132"/>
      <c r="O7" s="132"/>
      <c r="T7" s="132"/>
      <c r="U7" s="132"/>
      <c r="W7" s="132"/>
      <c r="X7" s="132"/>
      <c r="AC7" s="144"/>
      <c r="AD7" s="145"/>
      <c r="AE7" s="145"/>
      <c r="AF7" s="145"/>
      <c r="AG7" s="146"/>
    </row>
    <row r="8" spans="1:33" ht="15" thickBot="1" x14ac:dyDescent="0.4">
      <c r="B8" s="134" t="str">
        <f>D3</f>
        <v>T11</v>
      </c>
      <c r="C8" s="134"/>
      <c r="E8" s="134" t="str">
        <f>E3</f>
        <v>T23</v>
      </c>
      <c r="F8" s="134"/>
      <c r="K8" s="134" t="str">
        <f>M3</f>
        <v>T5</v>
      </c>
      <c r="L8" s="134"/>
      <c r="N8" s="134" t="str">
        <f>N3</f>
        <v>T25</v>
      </c>
      <c r="O8" s="134"/>
      <c r="T8" s="134" t="str">
        <f>V3</f>
        <v>T31</v>
      </c>
      <c r="U8" s="134"/>
      <c r="W8" s="134" t="str">
        <f>W3</f>
        <v>T26</v>
      </c>
      <c r="X8" s="134"/>
      <c r="AC8" s="144"/>
      <c r="AD8" s="145"/>
      <c r="AE8" s="145"/>
      <c r="AF8" s="145"/>
      <c r="AG8" s="146"/>
    </row>
    <row r="9" spans="1:33" ht="15" thickBot="1" x14ac:dyDescent="0.4">
      <c r="B9" s="132"/>
      <c r="C9" s="132"/>
      <c r="E9" s="132"/>
      <c r="F9" s="132"/>
      <c r="K9" s="132"/>
      <c r="L9" s="132"/>
      <c r="N9" s="132"/>
      <c r="O9" s="132"/>
      <c r="T9" s="132"/>
      <c r="U9" s="132"/>
      <c r="W9" s="132"/>
      <c r="X9" s="132"/>
      <c r="AC9" s="147"/>
      <c r="AD9" s="148"/>
      <c r="AE9" s="148"/>
      <c r="AF9" s="148"/>
      <c r="AG9" s="149"/>
    </row>
    <row r="10" spans="1:33" ht="15" thickBot="1" x14ac:dyDescent="0.4">
      <c r="B10" s="132"/>
      <c r="C10" s="132"/>
      <c r="E10" s="132"/>
      <c r="F10" s="132"/>
      <c r="K10" s="132"/>
      <c r="L10" s="132"/>
      <c r="N10" s="132"/>
      <c r="O10" s="132"/>
      <c r="T10" s="132"/>
      <c r="U10" s="132"/>
      <c r="W10" s="132"/>
      <c r="X10" s="132"/>
    </row>
    <row r="11" spans="1:33" x14ac:dyDescent="0.35">
      <c r="B11" s="136"/>
      <c r="C11" s="136"/>
      <c r="E11" s="136"/>
      <c r="F11" s="136"/>
      <c r="K11" s="136"/>
      <c r="L11" s="136"/>
      <c r="N11" s="136"/>
      <c r="O11" s="136"/>
      <c r="T11" s="136"/>
      <c r="U11" s="136"/>
      <c r="W11" s="136"/>
      <c r="X11" s="136"/>
    </row>
    <row r="12" spans="1:33" x14ac:dyDescent="0.35">
      <c r="B12" s="133" t="str">
        <f>'Schema!!!!!!'!F1</f>
        <v>ronde 2</v>
      </c>
      <c r="C12" s="133"/>
      <c r="D12" s="133"/>
      <c r="E12" s="133"/>
      <c r="F12" s="133"/>
      <c r="K12" s="133" t="str">
        <f>'Schema!!!!!!'!F12</f>
        <v>ronde 5</v>
      </c>
      <c r="L12" s="133"/>
      <c r="M12" s="133"/>
      <c r="N12" s="133"/>
      <c r="O12" s="133"/>
      <c r="T12" s="133" t="str">
        <f>'Schema!!!!!!'!J23</f>
        <v>ronde 8</v>
      </c>
      <c r="U12" s="133"/>
      <c r="V12" s="133"/>
      <c r="W12" s="133"/>
      <c r="X12" s="133"/>
    </row>
    <row r="13" spans="1:33" x14ac:dyDescent="0.35">
      <c r="B13" s="133" t="str">
        <f>B2</f>
        <v>Nick’s Weekendspecial</v>
      </c>
      <c r="C13" s="133"/>
      <c r="D13" s="133"/>
      <c r="E13" s="133"/>
      <c r="F13" s="133"/>
      <c r="K13" s="133" t="str">
        <f>K2</f>
        <v>Nick’s Weekendspecial</v>
      </c>
      <c r="L13" s="133"/>
      <c r="M13" s="133"/>
      <c r="N13" s="133"/>
      <c r="O13" s="133"/>
      <c r="T13" s="133" t="str">
        <f>T2</f>
        <v>Nick’s Weekendspecial</v>
      </c>
      <c r="U13" s="133"/>
      <c r="V13" s="133"/>
      <c r="W13" s="133"/>
      <c r="X13" s="133"/>
    </row>
    <row r="14" spans="1:33" ht="15" customHeight="1" x14ac:dyDescent="0.35">
      <c r="B14" t="str">
        <f>'Schema!!!!!!'!F6</f>
        <v>T1</v>
      </c>
      <c r="C14" t="str">
        <f>'Schema!!!!!!'!G6</f>
        <v>T32</v>
      </c>
      <c r="D14" t="str">
        <f>'Schema!!!!!!'!H6</f>
        <v>T24</v>
      </c>
      <c r="E14" t="str">
        <f>'Schema!!!!!!'!I6</f>
        <v>T34</v>
      </c>
      <c r="K14" t="str">
        <f>'Schema!!!!!!'!F17</f>
        <v>T7</v>
      </c>
      <c r="L14" t="str">
        <f>'Schema!!!!!!'!G17</f>
        <v>T9</v>
      </c>
      <c r="M14" t="str">
        <f>'Schema!!!!!!'!H17</f>
        <v>T37</v>
      </c>
      <c r="N14" t="str">
        <f>'Schema!!!!!!'!I17</f>
        <v>T6</v>
      </c>
      <c r="T14" t="e">
        <f>'Schema!!!!!!'!J29</f>
        <v>#REF!</v>
      </c>
      <c r="U14" t="str">
        <f>'Schema!!!!!!'!K29</f>
        <v>T21</v>
      </c>
      <c r="V14" t="str">
        <f>'Schema!!!!!!'!L29</f>
        <v>T38</v>
      </c>
      <c r="W14" t="str">
        <f>'Schema!!!!!!'!M29</f>
        <v>T39</v>
      </c>
    </row>
    <row r="15" spans="1:33" ht="15" customHeight="1" x14ac:dyDescent="0.35"/>
    <row r="16" spans="1:33" ht="15.75" customHeight="1" thickBot="1" x14ac:dyDescent="0.4">
      <c r="B16" s="135" t="str">
        <f>B14</f>
        <v>T1</v>
      </c>
      <c r="C16" s="135"/>
      <c r="E16" s="135" t="str">
        <f>C14</f>
        <v>T32</v>
      </c>
      <c r="F16" s="135"/>
      <c r="K16" s="135" t="str">
        <f>K14</f>
        <v>T7</v>
      </c>
      <c r="L16" s="135"/>
      <c r="N16" s="135" t="str">
        <f>L14</f>
        <v>T9</v>
      </c>
      <c r="O16" s="135"/>
      <c r="T16" s="135" t="e">
        <f>T14</f>
        <v>#REF!</v>
      </c>
      <c r="U16" s="135"/>
      <c r="W16" s="135" t="str">
        <f>U14</f>
        <v>T21</v>
      </c>
      <c r="X16" s="135"/>
    </row>
    <row r="17" spans="2:24" ht="15.75" customHeight="1" thickBot="1" x14ac:dyDescent="0.4">
      <c r="B17" s="132"/>
      <c r="C17" s="132"/>
      <c r="E17" s="132"/>
      <c r="F17" s="132"/>
      <c r="K17" s="132"/>
      <c r="L17" s="132"/>
      <c r="N17" s="132"/>
      <c r="O17" s="132"/>
      <c r="T17" s="132"/>
      <c r="U17" s="132"/>
      <c r="W17" s="132"/>
      <c r="X17" s="132"/>
    </row>
    <row r="18" spans="2:24" ht="15.75" customHeight="1" thickBot="1" x14ac:dyDescent="0.4">
      <c r="B18" s="132"/>
      <c r="C18" s="132"/>
      <c r="E18" s="132"/>
      <c r="F18" s="132"/>
      <c r="K18" s="132"/>
      <c r="L18" s="132"/>
      <c r="N18" s="132"/>
      <c r="O18" s="132"/>
      <c r="T18" s="132"/>
      <c r="U18" s="132"/>
      <c r="W18" s="132"/>
      <c r="X18" s="132"/>
    </row>
    <row r="19" spans="2:24" ht="15" thickBot="1" x14ac:dyDescent="0.4">
      <c r="B19" s="134" t="str">
        <f>D14</f>
        <v>T24</v>
      </c>
      <c r="C19" s="134"/>
      <c r="E19" s="134" t="str">
        <f>E14</f>
        <v>T34</v>
      </c>
      <c r="F19" s="134"/>
      <c r="K19" s="134" t="str">
        <f>M14</f>
        <v>T37</v>
      </c>
      <c r="L19" s="134"/>
      <c r="N19" s="134" t="str">
        <f>N14</f>
        <v>T6</v>
      </c>
      <c r="O19" s="134"/>
      <c r="T19" s="134" t="str">
        <f>V14</f>
        <v>T38</v>
      </c>
      <c r="U19" s="134"/>
      <c r="W19" s="134" t="str">
        <f>W14</f>
        <v>T39</v>
      </c>
      <c r="X19" s="134"/>
    </row>
    <row r="20" spans="2:24" ht="15" thickBot="1" x14ac:dyDescent="0.4">
      <c r="B20" s="132"/>
      <c r="C20" s="132"/>
      <c r="E20" s="132"/>
      <c r="F20" s="132"/>
      <c r="K20" s="132"/>
      <c r="L20" s="132"/>
      <c r="N20" s="132"/>
      <c r="O20" s="132"/>
      <c r="T20" s="132"/>
      <c r="U20" s="132"/>
      <c r="W20" s="132"/>
      <c r="X20" s="132"/>
    </row>
    <row r="21" spans="2:24" ht="15" thickBot="1" x14ac:dyDescent="0.4">
      <c r="B21" s="132"/>
      <c r="C21" s="132"/>
      <c r="E21" s="132"/>
      <c r="F21" s="132"/>
      <c r="K21" s="132"/>
      <c r="L21" s="132"/>
      <c r="N21" s="132"/>
      <c r="O21" s="132"/>
      <c r="T21" s="132"/>
      <c r="U21" s="132"/>
      <c r="W21" s="132"/>
      <c r="X21" s="132"/>
    </row>
    <row r="26" spans="2:24" x14ac:dyDescent="0.35">
      <c r="B26" s="133" t="str">
        <f>'Schema!!!!!!'!J1</f>
        <v>ronde 3</v>
      </c>
      <c r="C26" s="133"/>
      <c r="D26" s="133"/>
      <c r="E26" s="133"/>
      <c r="F26" s="133"/>
      <c r="K26" s="133" t="str">
        <f>'Schema!!!!!!'!B23</f>
        <v>ronde 6</v>
      </c>
      <c r="L26" s="133"/>
      <c r="M26" s="133"/>
      <c r="N26" s="133"/>
      <c r="O26" s="133"/>
      <c r="T26" s="133" t="str">
        <f>'Schema!!!!!!'!B34</f>
        <v>ronde 9</v>
      </c>
      <c r="U26" s="133"/>
      <c r="V26" s="133"/>
      <c r="W26" s="133"/>
      <c r="X26" s="133"/>
    </row>
    <row r="27" spans="2:24" x14ac:dyDescent="0.35">
      <c r="B27" s="133" t="str">
        <f>B2</f>
        <v>Nick’s Weekendspecial</v>
      </c>
      <c r="C27" s="133"/>
      <c r="D27" s="133"/>
      <c r="E27" s="133"/>
      <c r="F27" s="133"/>
      <c r="K27" s="133" t="str">
        <f>K2</f>
        <v>Nick’s Weekendspecial</v>
      </c>
      <c r="L27" s="133"/>
      <c r="M27" s="133"/>
      <c r="N27" s="133"/>
      <c r="O27" s="133"/>
      <c r="T27" s="133" t="str">
        <f>T13</f>
        <v>Nick’s Weekendspecial</v>
      </c>
      <c r="U27" s="133"/>
      <c r="V27" s="133"/>
      <c r="W27" s="133"/>
      <c r="X27" s="133"/>
    </row>
    <row r="28" spans="2:24" x14ac:dyDescent="0.35">
      <c r="B28" t="str">
        <f>'Schema!!!!!!'!J6</f>
        <v>T3</v>
      </c>
      <c r="C28" t="str">
        <f>'Schema!!!!!!'!K6</f>
        <v>T15</v>
      </c>
      <c r="D28" t="str">
        <f>'Schema!!!!!!'!L6</f>
        <v>T31</v>
      </c>
      <c r="E28" t="str">
        <f>'Schema!!!!!!'!M6</f>
        <v>T40</v>
      </c>
      <c r="K28" t="str">
        <f>'Schema!!!!!!'!B29</f>
        <v>T10</v>
      </c>
      <c r="L28" s="14" t="str">
        <f>'Schema!!!!!!'!C29</f>
        <v>T27</v>
      </c>
      <c r="M28" t="str">
        <f>'Schema!!!!!!'!D29</f>
        <v>T20</v>
      </c>
      <c r="N28" t="str">
        <f>'Schema!!!!!!'!E29</f>
        <v>T38</v>
      </c>
      <c r="T28" s="14" t="str">
        <f>'Schema!!!!!!'!B40</f>
        <v>T16</v>
      </c>
      <c r="U28" t="str">
        <f>'Schema!!!!!!'!C40</f>
        <v>T30</v>
      </c>
      <c r="V28" s="14" t="str">
        <f>'Schema!!!!!!'!D40</f>
        <v>T28</v>
      </c>
      <c r="W28" t="str">
        <f>'Schema!!!!!!'!E40</f>
        <v>T35</v>
      </c>
    </row>
    <row r="30" spans="2:24" ht="15" thickBot="1" x14ac:dyDescent="0.4">
      <c r="B30" s="135" t="str">
        <f>B28</f>
        <v>T3</v>
      </c>
      <c r="C30" s="135"/>
      <c r="E30" s="135" t="str">
        <f>C28</f>
        <v>T15</v>
      </c>
      <c r="F30" s="135"/>
      <c r="K30" s="135" t="str">
        <f>K28</f>
        <v>T10</v>
      </c>
      <c r="L30" s="135"/>
      <c r="N30" s="137" t="str">
        <f>L28</f>
        <v>T27</v>
      </c>
      <c r="O30" s="137"/>
      <c r="T30" s="135" t="str">
        <f>T28</f>
        <v>T16</v>
      </c>
      <c r="U30" s="135"/>
      <c r="W30" s="135" t="str">
        <f>U28</f>
        <v>T30</v>
      </c>
      <c r="X30" s="135"/>
    </row>
    <row r="31" spans="2:24" ht="15" thickBot="1" x14ac:dyDescent="0.4">
      <c r="B31" s="132"/>
      <c r="C31" s="132"/>
      <c r="E31" s="132"/>
      <c r="F31" s="132"/>
      <c r="K31" s="132"/>
      <c r="L31" s="132"/>
      <c r="N31" s="132"/>
      <c r="O31" s="132"/>
      <c r="T31" s="132"/>
      <c r="U31" s="132"/>
      <c r="W31" s="132"/>
      <c r="X31" s="132"/>
    </row>
    <row r="32" spans="2:24" ht="15" thickBot="1" x14ac:dyDescent="0.4">
      <c r="B32" s="132"/>
      <c r="C32" s="132"/>
      <c r="E32" s="132"/>
      <c r="F32" s="132"/>
      <c r="K32" s="132"/>
      <c r="L32" s="132"/>
      <c r="N32" s="132"/>
      <c r="O32" s="132"/>
      <c r="T32" s="132"/>
      <c r="U32" s="132"/>
      <c r="W32" s="132"/>
      <c r="X32" s="132"/>
    </row>
    <row r="33" spans="2:24" ht="15" thickBot="1" x14ac:dyDescent="0.4">
      <c r="B33" s="134" t="str">
        <f>D28</f>
        <v>T31</v>
      </c>
      <c r="C33" s="134"/>
      <c r="E33" s="134" t="str">
        <f>E28</f>
        <v>T40</v>
      </c>
      <c r="F33" s="134"/>
      <c r="K33" s="140" t="str">
        <f>M28</f>
        <v>T20</v>
      </c>
      <c r="L33" s="140"/>
      <c r="N33" s="134" t="str">
        <f>N28</f>
        <v>T38</v>
      </c>
      <c r="O33" s="134"/>
      <c r="T33" s="134" t="str">
        <f>V28</f>
        <v>T28</v>
      </c>
      <c r="U33" s="134"/>
      <c r="W33" s="134" t="str">
        <f>W28</f>
        <v>T35</v>
      </c>
      <c r="X33" s="134"/>
    </row>
    <row r="34" spans="2:24" ht="15" thickBot="1" x14ac:dyDescent="0.4">
      <c r="B34" s="132"/>
      <c r="C34" s="132"/>
      <c r="E34" s="132"/>
      <c r="F34" s="132"/>
      <c r="K34" s="132"/>
      <c r="L34" s="132"/>
      <c r="N34" s="132"/>
      <c r="O34" s="132"/>
      <c r="T34" s="132"/>
      <c r="U34" s="132"/>
      <c r="W34" s="132"/>
      <c r="X34" s="132"/>
    </row>
    <row r="35" spans="2:24" ht="15" thickBot="1" x14ac:dyDescent="0.4">
      <c r="B35" s="132"/>
      <c r="C35" s="132"/>
      <c r="E35" s="132"/>
      <c r="F35" s="132"/>
      <c r="K35" s="132"/>
      <c r="L35" s="132"/>
      <c r="N35" s="132"/>
      <c r="O35" s="132"/>
      <c r="T35" s="132"/>
      <c r="U35" s="132"/>
      <c r="W35" s="132"/>
      <c r="X35" s="132"/>
    </row>
    <row r="36" spans="2:24" x14ac:dyDescent="0.35">
      <c r="B36" s="136"/>
      <c r="C36" s="136"/>
      <c r="E36" s="136"/>
      <c r="F36" s="136"/>
    </row>
    <row r="37" spans="2:24" x14ac:dyDescent="0.35">
      <c r="B37" s="12"/>
      <c r="C37" s="12"/>
      <c r="D37" s="12"/>
      <c r="E37" s="12"/>
      <c r="F37" s="12"/>
    </row>
    <row r="38" spans="2:24" x14ac:dyDescent="0.35">
      <c r="B38" s="12"/>
      <c r="C38" s="12"/>
      <c r="D38" s="12"/>
      <c r="E38" s="12"/>
      <c r="F38" s="12"/>
    </row>
    <row r="39" spans="2:24" x14ac:dyDescent="0.35">
      <c r="B39" s="12"/>
      <c r="C39" s="12"/>
      <c r="D39" s="12"/>
      <c r="E39" s="12"/>
      <c r="F39" s="12"/>
    </row>
    <row r="40" spans="2:24" x14ac:dyDescent="0.35">
      <c r="B40" s="12"/>
      <c r="C40" s="12"/>
      <c r="D40" s="12"/>
      <c r="E40" s="12"/>
      <c r="F40" s="12"/>
    </row>
    <row r="41" spans="2:24" x14ac:dyDescent="0.35">
      <c r="B41" s="12"/>
      <c r="C41" s="12"/>
      <c r="D41" s="12"/>
      <c r="E41" s="12"/>
      <c r="F41" s="12"/>
    </row>
    <row r="42" spans="2:24" x14ac:dyDescent="0.35">
      <c r="B42" s="12"/>
      <c r="C42" s="12"/>
      <c r="D42" s="12"/>
      <c r="E42" s="12"/>
      <c r="F42" s="12"/>
    </row>
  </sheetData>
  <mergeCells count="101">
    <mergeCell ref="AC5:AG9"/>
    <mergeCell ref="AC1:AG1"/>
    <mergeCell ref="AC2:AG2"/>
    <mergeCell ref="W5:X5"/>
    <mergeCell ref="B1:F1"/>
    <mergeCell ref="K1:O1"/>
    <mergeCell ref="T1:X1"/>
    <mergeCell ref="B2:F2"/>
    <mergeCell ref="K2:O2"/>
    <mergeCell ref="T2:X2"/>
    <mergeCell ref="B5:C5"/>
    <mergeCell ref="E5:F5"/>
    <mergeCell ref="K5:L5"/>
    <mergeCell ref="N5:O5"/>
    <mergeCell ref="T5:U5"/>
    <mergeCell ref="W8:X8"/>
    <mergeCell ref="B6:C7"/>
    <mergeCell ref="E6:F7"/>
    <mergeCell ref="K6:L7"/>
    <mergeCell ref="N6:O7"/>
    <mergeCell ref="T6:U7"/>
    <mergeCell ref="W6:X7"/>
    <mergeCell ref="B8:C8"/>
    <mergeCell ref="E8:F8"/>
    <mergeCell ref="K8:L8"/>
    <mergeCell ref="N8:O8"/>
    <mergeCell ref="T8:U8"/>
    <mergeCell ref="W11:X11"/>
    <mergeCell ref="B9:C10"/>
    <mergeCell ref="E9:F10"/>
    <mergeCell ref="K9:L10"/>
    <mergeCell ref="N9:O10"/>
    <mergeCell ref="T9:U10"/>
    <mergeCell ref="W9:X10"/>
    <mergeCell ref="B11:C11"/>
    <mergeCell ref="E11:F11"/>
    <mergeCell ref="K11:L11"/>
    <mergeCell ref="N11:O11"/>
    <mergeCell ref="T11:U11"/>
    <mergeCell ref="B12:F12"/>
    <mergeCell ref="K12:O12"/>
    <mergeCell ref="T12:X12"/>
    <mergeCell ref="B13:F13"/>
    <mergeCell ref="K13:O13"/>
    <mergeCell ref="T13:X13"/>
    <mergeCell ref="B16:C16"/>
    <mergeCell ref="E16:F16"/>
    <mergeCell ref="T16:U16"/>
    <mergeCell ref="W16:X16"/>
    <mergeCell ref="B17:C18"/>
    <mergeCell ref="E17:F18"/>
    <mergeCell ref="T17:U18"/>
    <mergeCell ref="W17:X18"/>
    <mergeCell ref="K16:L16"/>
    <mergeCell ref="N16:O16"/>
    <mergeCell ref="K17:L18"/>
    <mergeCell ref="N17:O18"/>
    <mergeCell ref="B19:C19"/>
    <mergeCell ref="E19:F19"/>
    <mergeCell ref="T19:U19"/>
    <mergeCell ref="W19:X19"/>
    <mergeCell ref="B20:C21"/>
    <mergeCell ref="E20:F21"/>
    <mergeCell ref="T20:U21"/>
    <mergeCell ref="W20:X21"/>
    <mergeCell ref="K19:L19"/>
    <mergeCell ref="N19:O19"/>
    <mergeCell ref="K20:L21"/>
    <mergeCell ref="N20:O21"/>
    <mergeCell ref="B26:F26"/>
    <mergeCell ref="K26:O26"/>
    <mergeCell ref="B27:F27"/>
    <mergeCell ref="K27:O27"/>
    <mergeCell ref="B30:C30"/>
    <mergeCell ref="E30:F30"/>
    <mergeCell ref="K30:L30"/>
    <mergeCell ref="N30:O30"/>
    <mergeCell ref="B31:C32"/>
    <mergeCell ref="E31:F32"/>
    <mergeCell ref="K31:L32"/>
    <mergeCell ref="N31:O32"/>
    <mergeCell ref="B33:C33"/>
    <mergeCell ref="E33:F33"/>
    <mergeCell ref="K33:L33"/>
    <mergeCell ref="N33:O33"/>
    <mergeCell ref="B34:C35"/>
    <mergeCell ref="E34:F35"/>
    <mergeCell ref="K34:L35"/>
    <mergeCell ref="N34:O35"/>
    <mergeCell ref="B36:C36"/>
    <mergeCell ref="E36:F36"/>
    <mergeCell ref="T33:U33"/>
    <mergeCell ref="W33:X33"/>
    <mergeCell ref="T34:U35"/>
    <mergeCell ref="W34:X35"/>
    <mergeCell ref="T26:X26"/>
    <mergeCell ref="T27:X27"/>
    <mergeCell ref="T30:U30"/>
    <mergeCell ref="W30:X30"/>
    <mergeCell ref="T31:U32"/>
    <mergeCell ref="W31:X32"/>
  </mergeCells>
  <pageMargins left="0.70000000000000007" right="0.70000000000000007" top="0.75" bottom="0.75" header="0.30000000000000004" footer="0.30000000000000004"/>
  <pageSetup paperSize="9" orientation="portrait" r:id="rId1"/>
  <colBreaks count="2" manualBreakCount="2">
    <brk id="17" max="1048575" man="1"/>
    <brk id="2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42"/>
  <sheetViews>
    <sheetView view="pageBreakPreview" topLeftCell="G1" zoomScale="60" zoomScaleNormal="70" workbookViewId="0">
      <selection activeCell="I1" sqref="I1:I1048576"/>
    </sheetView>
  </sheetViews>
  <sheetFormatPr defaultRowHeight="14.5" x14ac:dyDescent="0.35"/>
  <cols>
    <col min="1" max="3" width="8.81640625" customWidth="1"/>
    <col min="4" max="4" width="17.81640625" customWidth="1"/>
    <col min="5" max="5" width="8.81640625" customWidth="1"/>
  </cols>
  <sheetData>
    <row r="1" spans="1:33" x14ac:dyDescent="0.35">
      <c r="A1" s="3"/>
      <c r="B1" s="133" t="str">
        <f>'Schema!!!!!!'!B1</f>
        <v>ronde 1</v>
      </c>
      <c r="C1" s="133"/>
      <c r="D1" s="133"/>
      <c r="E1" s="133"/>
      <c r="F1" s="133"/>
      <c r="K1" s="133" t="str">
        <f>'Schema!!!!!!'!B12</f>
        <v>ronde 4</v>
      </c>
      <c r="L1" s="133"/>
      <c r="M1" s="133"/>
      <c r="N1" s="133"/>
      <c r="O1" s="133"/>
      <c r="S1" s="3"/>
      <c r="T1" s="133" t="str">
        <f>'Schema!!!!!!'!F23</f>
        <v>ronde 7</v>
      </c>
      <c r="U1" s="133"/>
      <c r="V1" s="133"/>
      <c r="W1" s="133"/>
      <c r="X1" s="133"/>
      <c r="AC1" s="133" t="str">
        <f>'Schema!!!!!!'!F34</f>
        <v>ronde 10</v>
      </c>
      <c r="AD1" s="133"/>
      <c r="AE1" s="133"/>
      <c r="AF1" s="133"/>
      <c r="AG1" s="133"/>
    </row>
    <row r="2" spans="1:33" x14ac:dyDescent="0.35">
      <c r="B2" s="133" t="str">
        <f>'Schema!!!!!!'!A7</f>
        <v>Danoontje Powerrrrrr</v>
      </c>
      <c r="C2" s="133"/>
      <c r="D2" s="133"/>
      <c r="E2" s="133"/>
      <c r="F2" s="133"/>
      <c r="K2" s="133" t="str">
        <f>B2</f>
        <v>Danoontje Powerrrrrr</v>
      </c>
      <c r="L2" s="133"/>
      <c r="M2" s="133"/>
      <c r="N2" s="133"/>
      <c r="O2" s="133"/>
      <c r="T2" s="133" t="str">
        <f>K2</f>
        <v>Danoontje Powerrrrrr</v>
      </c>
      <c r="U2" s="133"/>
      <c r="V2" s="133"/>
      <c r="W2" s="133"/>
      <c r="X2" s="133"/>
      <c r="AC2" s="133" t="str">
        <f>T2</f>
        <v>Danoontje Powerrrrrr</v>
      </c>
      <c r="AD2" s="133"/>
      <c r="AE2" s="133"/>
      <c r="AF2" s="133"/>
      <c r="AG2" s="133"/>
    </row>
    <row r="3" spans="1:33" x14ac:dyDescent="0.35">
      <c r="B3" t="str">
        <f>'Schema!!!!!!'!B7</f>
        <v>T7</v>
      </c>
      <c r="C3" t="str">
        <f>'Schema!!!!!!'!C7</f>
        <v>T9</v>
      </c>
      <c r="D3" t="str">
        <f>'Schema!!!!!!'!D7</f>
        <v>T31</v>
      </c>
      <c r="E3" t="str">
        <f>'Schema!!!!!!'!E7</f>
        <v>T34</v>
      </c>
      <c r="K3" t="str">
        <f>'Schema!!!!!!'!B18</f>
        <v>T3</v>
      </c>
      <c r="L3" t="str">
        <f>'Schema!!!!!!'!C18</f>
        <v>T8</v>
      </c>
      <c r="M3" t="str">
        <f>'Schema!!!!!!'!D18</f>
        <v>T11</v>
      </c>
      <c r="N3" t="str">
        <f>'Schema!!!!!!'!E18</f>
        <v>T6</v>
      </c>
      <c r="T3" t="str">
        <f>'Schema!!!!!!'!F30</f>
        <v>T10</v>
      </c>
      <c r="U3" t="str">
        <f>'Schema!!!!!!'!G30</f>
        <v>T21</v>
      </c>
      <c r="V3" t="str">
        <f>'Schema!!!!!!'!H30</f>
        <v>T28</v>
      </c>
      <c r="W3" t="str">
        <f>'Schema!!!!!!'!I30</f>
        <v>T35</v>
      </c>
    </row>
    <row r="4" spans="1:33" ht="15" thickBot="1" x14ac:dyDescent="0.4"/>
    <row r="5" spans="1:33" ht="15" thickBot="1" x14ac:dyDescent="0.4">
      <c r="B5" s="137" t="str">
        <f>B3</f>
        <v>T7</v>
      </c>
      <c r="C5" s="137"/>
      <c r="E5" s="135" t="str">
        <f>C3</f>
        <v>T9</v>
      </c>
      <c r="F5" s="135"/>
      <c r="K5" s="135" t="str">
        <f>K3</f>
        <v>T3</v>
      </c>
      <c r="L5" s="135"/>
      <c r="N5" s="135" t="str">
        <f>L3</f>
        <v>T8</v>
      </c>
      <c r="O5" s="135"/>
      <c r="T5" s="135" t="str">
        <f>T3</f>
        <v>T10</v>
      </c>
      <c r="U5" s="135"/>
      <c r="W5" s="135" t="str">
        <f>U3</f>
        <v>T21</v>
      </c>
      <c r="X5" s="135"/>
      <c r="AC5" s="141" t="s">
        <v>11</v>
      </c>
      <c r="AD5" s="142"/>
      <c r="AE5" s="142"/>
      <c r="AF5" s="142"/>
      <c r="AG5" s="143"/>
    </row>
    <row r="6" spans="1:33" x14ac:dyDescent="0.35">
      <c r="B6" s="158"/>
      <c r="C6" s="159"/>
      <c r="E6" s="158"/>
      <c r="F6" s="159"/>
      <c r="K6" s="158"/>
      <c r="L6" s="159"/>
      <c r="N6" s="158"/>
      <c r="O6" s="159"/>
      <c r="T6" s="158"/>
      <c r="U6" s="159"/>
      <c r="W6" s="158"/>
      <c r="X6" s="159"/>
      <c r="AC6" s="144"/>
      <c r="AD6" s="145"/>
      <c r="AE6" s="145"/>
      <c r="AF6" s="145"/>
      <c r="AG6" s="146"/>
    </row>
    <row r="7" spans="1:33" ht="15" thickBot="1" x14ac:dyDescent="0.4">
      <c r="B7" s="160"/>
      <c r="C7" s="161"/>
      <c r="E7" s="160"/>
      <c r="F7" s="161"/>
      <c r="K7" s="160"/>
      <c r="L7" s="161"/>
      <c r="N7" s="160"/>
      <c r="O7" s="161"/>
      <c r="T7" s="160"/>
      <c r="U7" s="161"/>
      <c r="W7" s="160"/>
      <c r="X7" s="161"/>
      <c r="AC7" s="144"/>
      <c r="AD7" s="145"/>
      <c r="AE7" s="145"/>
      <c r="AF7" s="145"/>
      <c r="AG7" s="146"/>
    </row>
    <row r="8" spans="1:33" ht="15" thickBot="1" x14ac:dyDescent="0.4">
      <c r="B8" s="140" t="str">
        <f>D3</f>
        <v>T31</v>
      </c>
      <c r="C8" s="140"/>
      <c r="E8" s="134" t="str">
        <f>E3</f>
        <v>T34</v>
      </c>
      <c r="F8" s="134"/>
      <c r="K8" s="134" t="str">
        <f>M3</f>
        <v>T11</v>
      </c>
      <c r="L8" s="134"/>
      <c r="N8" s="134" t="str">
        <f>N3</f>
        <v>T6</v>
      </c>
      <c r="O8" s="134"/>
      <c r="T8" s="134" t="str">
        <f>V3</f>
        <v>T28</v>
      </c>
      <c r="U8" s="134"/>
      <c r="W8" s="134" t="str">
        <f>W3</f>
        <v>T35</v>
      </c>
      <c r="X8" s="134"/>
      <c r="AC8" s="144"/>
      <c r="AD8" s="145"/>
      <c r="AE8" s="145"/>
      <c r="AF8" s="145"/>
      <c r="AG8" s="146"/>
    </row>
    <row r="9" spans="1:33" ht="15" thickBot="1" x14ac:dyDescent="0.4">
      <c r="B9" s="158"/>
      <c r="C9" s="159"/>
      <c r="E9" s="158"/>
      <c r="F9" s="159"/>
      <c r="K9" s="158"/>
      <c r="L9" s="159"/>
      <c r="N9" s="158"/>
      <c r="O9" s="159"/>
      <c r="T9" s="158"/>
      <c r="U9" s="159"/>
      <c r="W9" s="158"/>
      <c r="X9" s="159"/>
      <c r="AC9" s="147"/>
      <c r="AD9" s="148"/>
      <c r="AE9" s="148"/>
      <c r="AF9" s="148"/>
      <c r="AG9" s="149"/>
    </row>
    <row r="10" spans="1:33" ht="15" thickBot="1" x14ac:dyDescent="0.4">
      <c r="B10" s="160"/>
      <c r="C10" s="161"/>
      <c r="E10" s="160"/>
      <c r="F10" s="161"/>
      <c r="K10" s="160"/>
      <c r="L10" s="161"/>
      <c r="N10" s="160"/>
      <c r="O10" s="161"/>
      <c r="T10" s="160"/>
      <c r="U10" s="161"/>
      <c r="W10" s="160"/>
      <c r="X10" s="161"/>
    </row>
    <row r="11" spans="1:33" x14ac:dyDescent="0.35">
      <c r="B11" s="136"/>
      <c r="C11" s="136"/>
      <c r="E11" s="136"/>
      <c r="F11" s="136"/>
      <c r="K11" s="136"/>
      <c r="L11" s="136"/>
      <c r="N11" s="136"/>
      <c r="O11" s="136"/>
      <c r="T11" s="136"/>
      <c r="U11" s="136"/>
      <c r="W11" s="136"/>
      <c r="X11" s="136"/>
    </row>
    <row r="12" spans="1:33" x14ac:dyDescent="0.35">
      <c r="B12" s="133" t="str">
        <f>'Schema!!!!!!'!F1</f>
        <v>ronde 2</v>
      </c>
      <c r="C12" s="133"/>
      <c r="D12" s="133"/>
      <c r="E12" s="133"/>
      <c r="F12" s="133"/>
      <c r="K12" s="133" t="str">
        <f>'Schema!!!!!!'!F12</f>
        <v>ronde 5</v>
      </c>
      <c r="L12" s="133"/>
      <c r="M12" s="133"/>
      <c r="N12" s="133"/>
      <c r="O12" s="133"/>
      <c r="T12" s="133" t="str">
        <f>'Schema!!!!!!'!J23</f>
        <v>ronde 8</v>
      </c>
      <c r="U12" s="133"/>
      <c r="V12" s="133"/>
      <c r="W12" s="133"/>
      <c r="X12" s="133"/>
    </row>
    <row r="13" spans="1:33" x14ac:dyDescent="0.35">
      <c r="B13" s="133" t="str">
        <f>B2</f>
        <v>Danoontje Powerrrrrr</v>
      </c>
      <c r="C13" s="133"/>
      <c r="D13" s="133"/>
      <c r="E13" s="133"/>
      <c r="F13" s="133"/>
      <c r="K13" s="133" t="str">
        <f>B13</f>
        <v>Danoontje Powerrrrrr</v>
      </c>
      <c r="L13" s="133"/>
      <c r="M13" s="133"/>
      <c r="N13" s="133"/>
      <c r="O13" s="133"/>
      <c r="T13" s="133" t="str">
        <f>T2</f>
        <v>Danoontje Powerrrrrr</v>
      </c>
      <c r="U13" s="133"/>
      <c r="V13" s="133"/>
      <c r="W13" s="133"/>
      <c r="X13" s="133"/>
    </row>
    <row r="14" spans="1:33" ht="15" customHeight="1" x14ac:dyDescent="0.35">
      <c r="B14" t="str">
        <f>'Schema!!!!!!'!F7</f>
        <v>T2</v>
      </c>
      <c r="C14" t="str">
        <f>'Schema!!!!!!'!G7</f>
        <v>T15</v>
      </c>
      <c r="D14" t="str">
        <f>'Schema!!!!!!'!H7</f>
        <v>T5</v>
      </c>
      <c r="E14" t="str">
        <f>'Schema!!!!!!'!I7</f>
        <v>T40</v>
      </c>
      <c r="K14" t="str">
        <f>'Schema!!!!!!'!F18</f>
        <v>T12</v>
      </c>
      <c r="L14" t="str">
        <f>'Schema!!!!!!'!G18</f>
        <v>T32</v>
      </c>
      <c r="M14" t="str">
        <f>'Schema!!!!!!'!H18</f>
        <v>T24</v>
      </c>
      <c r="N14" t="str">
        <f>'Schema!!!!!!'!I18</f>
        <v>T23</v>
      </c>
      <c r="T14" t="str">
        <f>'Schema!!!!!!'!J30</f>
        <v>T14</v>
      </c>
      <c r="U14" t="str">
        <f>'Schema!!!!!!'!K30</f>
        <v>T30</v>
      </c>
      <c r="V14" t="str">
        <f>'Schema!!!!!!'!L30</f>
        <v>T20</v>
      </c>
      <c r="W14" t="str">
        <f>'Schema!!!!!!'!M30</f>
        <v>T38</v>
      </c>
    </row>
    <row r="15" spans="1:33" ht="15" customHeight="1" x14ac:dyDescent="0.35"/>
    <row r="16" spans="1:33" ht="15.75" customHeight="1" thickBot="1" x14ac:dyDescent="0.4">
      <c r="B16" s="137" t="str">
        <f>B14</f>
        <v>T2</v>
      </c>
      <c r="C16" s="137"/>
      <c r="E16" s="135" t="str">
        <f>C14</f>
        <v>T15</v>
      </c>
      <c r="F16" s="135"/>
      <c r="K16" s="135" t="str">
        <f>K14</f>
        <v>T12</v>
      </c>
      <c r="L16" s="135"/>
      <c r="N16" s="135" t="str">
        <f>L14</f>
        <v>T32</v>
      </c>
      <c r="O16" s="135"/>
      <c r="T16" s="135" t="str">
        <f>T14</f>
        <v>T14</v>
      </c>
      <c r="U16" s="135"/>
      <c r="W16" s="135" t="str">
        <f>U14</f>
        <v>T30</v>
      </c>
      <c r="X16" s="135"/>
    </row>
    <row r="17" spans="2:24" ht="15" customHeight="1" x14ac:dyDescent="0.35">
      <c r="B17" s="158"/>
      <c r="C17" s="159"/>
      <c r="E17" s="158"/>
      <c r="F17" s="159"/>
      <c r="K17" s="158"/>
      <c r="L17" s="159"/>
      <c r="N17" s="158"/>
      <c r="O17" s="159"/>
      <c r="T17" s="158"/>
      <c r="U17" s="159"/>
      <c r="W17" s="158"/>
      <c r="X17" s="159"/>
    </row>
    <row r="18" spans="2:24" ht="15.75" customHeight="1" thickBot="1" x14ac:dyDescent="0.4">
      <c r="B18" s="160"/>
      <c r="C18" s="161"/>
      <c r="E18" s="160"/>
      <c r="F18" s="161"/>
      <c r="K18" s="160"/>
      <c r="L18" s="161"/>
      <c r="N18" s="160"/>
      <c r="O18" s="161"/>
      <c r="T18" s="160"/>
      <c r="U18" s="161"/>
      <c r="W18" s="160"/>
      <c r="X18" s="161"/>
    </row>
    <row r="19" spans="2:24" ht="15" thickBot="1" x14ac:dyDescent="0.4">
      <c r="B19" s="134" t="str">
        <f>D14</f>
        <v>T5</v>
      </c>
      <c r="C19" s="134"/>
      <c r="E19" s="140" t="str">
        <f>E14</f>
        <v>T40</v>
      </c>
      <c r="F19" s="140"/>
      <c r="K19" s="134" t="str">
        <f>M14</f>
        <v>T24</v>
      </c>
      <c r="L19" s="134"/>
      <c r="N19" s="134" t="str">
        <f>N14</f>
        <v>T23</v>
      </c>
      <c r="O19" s="134"/>
      <c r="T19" s="134" t="str">
        <f>V14</f>
        <v>T20</v>
      </c>
      <c r="U19" s="134"/>
      <c r="W19" s="134" t="str">
        <f>W14</f>
        <v>T38</v>
      </c>
      <c r="X19" s="134"/>
    </row>
    <row r="20" spans="2:24" x14ac:dyDescent="0.35">
      <c r="B20" s="158"/>
      <c r="C20" s="159"/>
      <c r="E20" s="158"/>
      <c r="F20" s="159"/>
      <c r="K20" s="158"/>
      <c r="L20" s="159"/>
      <c r="N20" s="158"/>
      <c r="O20" s="159"/>
      <c r="T20" s="158"/>
      <c r="U20" s="159"/>
      <c r="W20" s="158"/>
      <c r="X20" s="159"/>
    </row>
    <row r="21" spans="2:24" ht="15" thickBot="1" x14ac:dyDescent="0.4">
      <c r="B21" s="160"/>
      <c r="C21" s="161"/>
      <c r="E21" s="160"/>
      <c r="F21" s="161"/>
      <c r="K21" s="160"/>
      <c r="L21" s="161"/>
      <c r="N21" s="160"/>
      <c r="O21" s="161"/>
      <c r="T21" s="160"/>
      <c r="U21" s="161"/>
      <c r="W21" s="160"/>
      <c r="X21" s="161"/>
    </row>
    <row r="26" spans="2:24" x14ac:dyDescent="0.35">
      <c r="B26" s="133" t="str">
        <f>'Schema!!!!!!'!J1</f>
        <v>ronde 3</v>
      </c>
      <c r="C26" s="133"/>
      <c r="D26" s="133"/>
      <c r="E26" s="133"/>
      <c r="F26" s="133"/>
      <c r="K26" s="133" t="str">
        <f>'Schema!!!!!!'!B23</f>
        <v>ronde 6</v>
      </c>
      <c r="L26" s="133"/>
      <c r="M26" s="133"/>
      <c r="N26" s="133"/>
      <c r="O26" s="133"/>
      <c r="T26" s="133" t="str">
        <f>'Schema!!!!!!'!B34</f>
        <v>ronde 9</v>
      </c>
      <c r="U26" s="133"/>
      <c r="V26" s="133"/>
      <c r="W26" s="133"/>
      <c r="X26" s="133"/>
    </row>
    <row r="27" spans="2:24" x14ac:dyDescent="0.35">
      <c r="B27" s="133" t="str">
        <f>B2</f>
        <v>Danoontje Powerrrrrr</v>
      </c>
      <c r="C27" s="133"/>
      <c r="D27" s="133"/>
      <c r="E27" s="133"/>
      <c r="F27" s="133"/>
      <c r="K27" s="133" t="str">
        <f>K2</f>
        <v>Danoontje Powerrrrrr</v>
      </c>
      <c r="L27" s="133"/>
      <c r="M27" s="133"/>
      <c r="N27" s="133"/>
      <c r="O27" s="133"/>
      <c r="T27" s="133" t="str">
        <f>T13</f>
        <v>Danoontje Powerrrrrr</v>
      </c>
      <c r="U27" s="133"/>
      <c r="V27" s="133"/>
      <c r="W27" s="133"/>
      <c r="X27" s="133"/>
    </row>
    <row r="28" spans="2:24" x14ac:dyDescent="0.35">
      <c r="B28" t="str">
        <f>'Schema!!!!!!'!J7</f>
        <v>T1</v>
      </c>
      <c r="C28" t="str">
        <f>'Schema!!!!!!'!K7</f>
        <v>T4</v>
      </c>
      <c r="D28" t="str">
        <f>'Schema!!!!!!'!L7</f>
        <v>T37</v>
      </c>
      <c r="E28" t="str">
        <f>'Schema!!!!!!'!M7</f>
        <v>T25</v>
      </c>
      <c r="K28" t="str">
        <f>'Schema!!!!!!'!B30</f>
        <v>T16</v>
      </c>
      <c r="L28" t="str">
        <f>'Schema!!!!!!'!C30</f>
        <v>T19</v>
      </c>
      <c r="M28" t="str">
        <f>'Schema!!!!!!'!D30</f>
        <v>T38</v>
      </c>
      <c r="N28" t="str">
        <f>'Schema!!!!!!'!E30</f>
        <v>T39</v>
      </c>
      <c r="T28" t="e">
        <f>'Schema!!!!!!'!B41</f>
        <v>#REF!</v>
      </c>
      <c r="U28" t="str">
        <f>'Schema!!!!!!'!C41</f>
        <v>T27</v>
      </c>
      <c r="V28" t="str">
        <f>'Schema!!!!!!'!D41</f>
        <v>T31</v>
      </c>
      <c r="W28" t="str">
        <f>'Schema!!!!!!'!E41</f>
        <v>T26</v>
      </c>
    </row>
    <row r="30" spans="2:24" ht="15" thickBot="1" x14ac:dyDescent="0.4">
      <c r="B30" s="135" t="str">
        <f>B28</f>
        <v>T1</v>
      </c>
      <c r="C30" s="135"/>
      <c r="E30" s="135" t="str">
        <f>C28</f>
        <v>T4</v>
      </c>
      <c r="F30" s="135"/>
      <c r="K30" s="135" t="str">
        <f>K28</f>
        <v>T16</v>
      </c>
      <c r="L30" s="135"/>
      <c r="N30" s="135" t="str">
        <f>L28</f>
        <v>T19</v>
      </c>
      <c r="O30" s="135"/>
      <c r="T30" s="135" t="e">
        <f>T28</f>
        <v>#REF!</v>
      </c>
      <c r="U30" s="135"/>
      <c r="W30" s="135" t="str">
        <f>U28</f>
        <v>T27</v>
      </c>
      <c r="X30" s="135"/>
    </row>
    <row r="31" spans="2:24" x14ac:dyDescent="0.35">
      <c r="B31" s="158"/>
      <c r="C31" s="159"/>
      <c r="E31" s="158"/>
      <c r="F31" s="159"/>
      <c r="K31" s="158"/>
      <c r="L31" s="159"/>
      <c r="N31" s="158"/>
      <c r="O31" s="159"/>
      <c r="T31" s="158"/>
      <c r="U31" s="159"/>
      <c r="W31" s="158"/>
      <c r="X31" s="159"/>
    </row>
    <row r="32" spans="2:24" ht="15" thickBot="1" x14ac:dyDescent="0.4">
      <c r="B32" s="160"/>
      <c r="C32" s="161"/>
      <c r="E32" s="160"/>
      <c r="F32" s="161"/>
      <c r="K32" s="160"/>
      <c r="L32" s="161"/>
      <c r="N32" s="160"/>
      <c r="O32" s="161"/>
      <c r="T32" s="160"/>
      <c r="U32" s="161"/>
      <c r="W32" s="160"/>
      <c r="X32" s="161"/>
    </row>
    <row r="33" spans="2:24" ht="15" thickBot="1" x14ac:dyDescent="0.4">
      <c r="B33" s="134" t="str">
        <f>D28</f>
        <v>T37</v>
      </c>
      <c r="C33" s="134"/>
      <c r="E33" s="134" t="str">
        <f>E28</f>
        <v>T25</v>
      </c>
      <c r="F33" s="134"/>
      <c r="K33" s="134" t="str">
        <f>M28</f>
        <v>T38</v>
      </c>
      <c r="L33" s="134"/>
      <c r="N33" s="134" t="str">
        <f>N28</f>
        <v>T39</v>
      </c>
      <c r="O33" s="134"/>
      <c r="T33" s="134" t="str">
        <f>V28</f>
        <v>T31</v>
      </c>
      <c r="U33" s="134"/>
      <c r="W33" s="134" t="str">
        <f>W28</f>
        <v>T26</v>
      </c>
      <c r="X33" s="134"/>
    </row>
    <row r="34" spans="2:24" x14ac:dyDescent="0.35">
      <c r="B34" s="158"/>
      <c r="C34" s="159"/>
      <c r="E34" s="158"/>
      <c r="F34" s="159"/>
      <c r="K34" s="158"/>
      <c r="L34" s="159"/>
      <c r="N34" s="158"/>
      <c r="O34" s="159"/>
      <c r="T34" s="158"/>
      <c r="U34" s="159"/>
      <c r="W34" s="158"/>
      <c r="X34" s="159"/>
    </row>
    <row r="35" spans="2:24" ht="15" thickBot="1" x14ac:dyDescent="0.4">
      <c r="B35" s="160"/>
      <c r="C35" s="161"/>
      <c r="E35" s="160"/>
      <c r="F35" s="161"/>
      <c r="K35" s="160"/>
      <c r="L35" s="161"/>
      <c r="N35" s="160"/>
      <c r="O35" s="161"/>
      <c r="T35" s="160"/>
      <c r="U35" s="161"/>
      <c r="W35" s="160"/>
      <c r="X35" s="161"/>
    </row>
    <row r="36" spans="2:24" x14ac:dyDescent="0.35">
      <c r="B36" s="136"/>
      <c r="C36" s="136"/>
      <c r="E36" s="136"/>
      <c r="F36" s="136"/>
    </row>
    <row r="37" spans="2:24" x14ac:dyDescent="0.35">
      <c r="B37" s="12"/>
      <c r="C37" s="12"/>
      <c r="D37" s="12"/>
      <c r="E37" s="12"/>
      <c r="F37" s="12"/>
    </row>
    <row r="38" spans="2:24" x14ac:dyDescent="0.35">
      <c r="B38" s="12"/>
      <c r="C38" s="12"/>
      <c r="D38" s="12"/>
      <c r="E38" s="12"/>
      <c r="F38" s="12"/>
    </row>
    <row r="39" spans="2:24" x14ac:dyDescent="0.35">
      <c r="B39" s="12"/>
      <c r="C39" s="12"/>
      <c r="D39" s="12"/>
      <c r="E39" s="12"/>
      <c r="F39" s="12"/>
    </row>
    <row r="40" spans="2:24" x14ac:dyDescent="0.35">
      <c r="B40" s="12"/>
      <c r="C40" s="12"/>
      <c r="D40" s="12"/>
      <c r="E40" s="12"/>
      <c r="F40" s="12"/>
    </row>
    <row r="41" spans="2:24" x14ac:dyDescent="0.35">
      <c r="B41" s="12"/>
      <c r="C41" s="12"/>
      <c r="D41" s="12"/>
      <c r="E41" s="12"/>
      <c r="F41" s="12"/>
    </row>
    <row r="42" spans="2:24" x14ac:dyDescent="0.35">
      <c r="B42" s="12"/>
      <c r="C42" s="12"/>
      <c r="D42" s="12"/>
      <c r="E42" s="12"/>
      <c r="F42" s="12"/>
    </row>
  </sheetData>
  <mergeCells count="101">
    <mergeCell ref="AC1:AG1"/>
    <mergeCell ref="AC2:AG2"/>
    <mergeCell ref="AC5:AG9"/>
    <mergeCell ref="W5:X5"/>
    <mergeCell ref="B1:F1"/>
    <mergeCell ref="K1:O1"/>
    <mergeCell ref="T1:X1"/>
    <mergeCell ref="B2:F2"/>
    <mergeCell ref="K2:O2"/>
    <mergeCell ref="T2:X2"/>
    <mergeCell ref="B5:C5"/>
    <mergeCell ref="E5:F5"/>
    <mergeCell ref="K5:L5"/>
    <mergeCell ref="N5:O5"/>
    <mergeCell ref="T5:U5"/>
    <mergeCell ref="W8:X8"/>
    <mergeCell ref="B6:C7"/>
    <mergeCell ref="E6:F7"/>
    <mergeCell ref="K6:L7"/>
    <mergeCell ref="N6:O7"/>
    <mergeCell ref="T6:U7"/>
    <mergeCell ref="W6:X7"/>
    <mergeCell ref="B8:C8"/>
    <mergeCell ref="E8:F8"/>
    <mergeCell ref="K8:L8"/>
    <mergeCell ref="N8:O8"/>
    <mergeCell ref="T8:U8"/>
    <mergeCell ref="W11:X11"/>
    <mergeCell ref="B9:C10"/>
    <mergeCell ref="E9:F10"/>
    <mergeCell ref="K9:L10"/>
    <mergeCell ref="N9:O10"/>
    <mergeCell ref="T9:U10"/>
    <mergeCell ref="W9:X10"/>
    <mergeCell ref="B11:C11"/>
    <mergeCell ref="E11:F11"/>
    <mergeCell ref="K11:L11"/>
    <mergeCell ref="N11:O11"/>
    <mergeCell ref="T11:U11"/>
    <mergeCell ref="B12:F12"/>
    <mergeCell ref="K12:O12"/>
    <mergeCell ref="T12:X12"/>
    <mergeCell ref="B13:F13"/>
    <mergeCell ref="K13:O13"/>
    <mergeCell ref="T13:X13"/>
    <mergeCell ref="B16:C16"/>
    <mergeCell ref="E16:F16"/>
    <mergeCell ref="T16:U16"/>
    <mergeCell ref="W16:X16"/>
    <mergeCell ref="B17:C18"/>
    <mergeCell ref="E17:F18"/>
    <mergeCell ref="T17:U18"/>
    <mergeCell ref="W17:X18"/>
    <mergeCell ref="K16:L16"/>
    <mergeCell ref="N16:O16"/>
    <mergeCell ref="K17:L18"/>
    <mergeCell ref="N17:O18"/>
    <mergeCell ref="B19:C19"/>
    <mergeCell ref="E19:F19"/>
    <mergeCell ref="T19:U19"/>
    <mergeCell ref="W19:X19"/>
    <mergeCell ref="B20:C21"/>
    <mergeCell ref="E20:F21"/>
    <mergeCell ref="T20:U21"/>
    <mergeCell ref="W20:X21"/>
    <mergeCell ref="K19:L19"/>
    <mergeCell ref="N19:O19"/>
    <mergeCell ref="K20:L21"/>
    <mergeCell ref="N20:O21"/>
    <mergeCell ref="B26:F26"/>
    <mergeCell ref="K26:O26"/>
    <mergeCell ref="T26:X26"/>
    <mergeCell ref="B27:F27"/>
    <mergeCell ref="K27:O27"/>
    <mergeCell ref="T27:X27"/>
    <mergeCell ref="W31:X32"/>
    <mergeCell ref="B30:C30"/>
    <mergeCell ref="E30:F30"/>
    <mergeCell ref="K30:L30"/>
    <mergeCell ref="N30:O30"/>
    <mergeCell ref="T30:U30"/>
    <mergeCell ref="W30:X30"/>
    <mergeCell ref="B31:C32"/>
    <mergeCell ref="E31:F32"/>
    <mergeCell ref="K31:L32"/>
    <mergeCell ref="N31:O32"/>
    <mergeCell ref="T31:U32"/>
    <mergeCell ref="B36:C36"/>
    <mergeCell ref="E36:F36"/>
    <mergeCell ref="B34:C35"/>
    <mergeCell ref="E34:F35"/>
    <mergeCell ref="K34:L35"/>
    <mergeCell ref="N34:O35"/>
    <mergeCell ref="T34:U35"/>
    <mergeCell ref="W34:X35"/>
    <mergeCell ref="B33:C33"/>
    <mergeCell ref="E33:F33"/>
    <mergeCell ref="K33:L33"/>
    <mergeCell ref="N33:O33"/>
    <mergeCell ref="T33:U33"/>
    <mergeCell ref="W33:X33"/>
  </mergeCells>
  <pageMargins left="0.70000000000000007" right="0.70000000000000007" top="0.75" bottom="0.75" header="0.30000000000000004" footer="0.30000000000000004"/>
  <pageSetup paperSize="9" orientation="portrait" r:id="rId1"/>
  <colBreaks count="2" manualBreakCount="2">
    <brk id="17" max="1048575" man="1"/>
    <brk id="2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42"/>
  <sheetViews>
    <sheetView view="pageBreakPreview" zoomScale="60" zoomScaleNormal="70" workbookViewId="0">
      <selection activeCell="Q42" sqref="Q42"/>
    </sheetView>
  </sheetViews>
  <sheetFormatPr defaultRowHeight="14.5" x14ac:dyDescent="0.35"/>
  <cols>
    <col min="1" max="3" width="8.81640625" customWidth="1"/>
    <col min="4" max="4" width="17.81640625" customWidth="1"/>
    <col min="5" max="5" width="8.81640625" customWidth="1"/>
  </cols>
  <sheetData>
    <row r="1" spans="1:33" x14ac:dyDescent="0.35">
      <c r="A1" s="3"/>
      <c r="B1" s="133" t="str">
        <f>'Schema!!!!!!'!B1</f>
        <v>ronde 1</v>
      </c>
      <c r="C1" s="133"/>
      <c r="D1" s="133"/>
      <c r="E1" s="133"/>
      <c r="F1" s="133"/>
      <c r="K1" s="133" t="str">
        <f>'Schema!!!!!!'!B12</f>
        <v>ronde 4</v>
      </c>
      <c r="L1" s="133"/>
      <c r="M1" s="133"/>
      <c r="N1" s="133"/>
      <c r="O1" s="133"/>
      <c r="S1" s="3"/>
      <c r="T1" s="133" t="str">
        <f>'Schema!!!!!!'!F23</f>
        <v>ronde 7</v>
      </c>
      <c r="U1" s="133"/>
      <c r="V1" s="133"/>
      <c r="W1" s="133"/>
      <c r="X1" s="133"/>
      <c r="AC1" s="133" t="str">
        <f>'Schema!!!!!!'!F34</f>
        <v>ronde 10</v>
      </c>
      <c r="AD1" s="133"/>
      <c r="AE1" s="133"/>
      <c r="AF1" s="133"/>
      <c r="AG1" s="133"/>
    </row>
    <row r="2" spans="1:33" x14ac:dyDescent="0.35">
      <c r="B2" s="133" t="str">
        <f>'Schema!!!!!!'!A8</f>
        <v>Kamelenrace</v>
      </c>
      <c r="C2" s="133"/>
      <c r="D2" s="133"/>
      <c r="E2" s="133"/>
      <c r="F2" s="133"/>
      <c r="K2" s="133" t="str">
        <f>B2</f>
        <v>Kamelenrace</v>
      </c>
      <c r="L2" s="133"/>
      <c r="M2" s="133"/>
      <c r="N2" s="133"/>
      <c r="O2" s="133"/>
      <c r="T2" s="133" t="str">
        <f>K2</f>
        <v>Kamelenrace</v>
      </c>
      <c r="U2" s="133"/>
      <c r="V2" s="133"/>
      <c r="W2" s="133"/>
      <c r="X2" s="133"/>
      <c r="AC2" s="133" t="str">
        <f>T2</f>
        <v>Kamelenrace</v>
      </c>
      <c r="AD2" s="133"/>
      <c r="AE2" s="133"/>
      <c r="AF2" s="133"/>
      <c r="AG2" s="133"/>
    </row>
    <row r="3" spans="1:33" x14ac:dyDescent="0.35">
      <c r="B3" t="str">
        <f>'Schema!!!!!!'!B8</f>
        <v>T12</v>
      </c>
      <c r="C3" t="str">
        <f>'Schema!!!!!!'!C8</f>
        <v>T32</v>
      </c>
      <c r="D3" t="str">
        <f>'Schema!!!!!!'!D8</f>
        <v>T37</v>
      </c>
      <c r="E3" t="str">
        <f>'Schema!!!!!!'!E8</f>
        <v>T40</v>
      </c>
      <c r="K3" t="str">
        <f>'Schema!!!!!!'!B19</f>
        <v>T1</v>
      </c>
      <c r="L3" t="str">
        <f>'Schema!!!!!!'!C19</f>
        <v>T9</v>
      </c>
      <c r="M3" t="str">
        <f>'Schema!!!!!!'!D19</f>
        <v>T31</v>
      </c>
      <c r="N3" t="str">
        <f>'Schema!!!!!!'!E19</f>
        <v>T23</v>
      </c>
      <c r="T3" t="str">
        <f>'Schema!!!!!!'!F31</f>
        <v>T16</v>
      </c>
      <c r="U3" t="str">
        <f>'Schema!!!!!!'!G31</f>
        <v>T30</v>
      </c>
      <c r="V3" t="str">
        <f>'Schema!!!!!!'!H31</f>
        <v>T20</v>
      </c>
      <c r="W3" t="str">
        <f>'Schema!!!!!!'!I31</f>
        <v>T39</v>
      </c>
    </row>
    <row r="4" spans="1:33" ht="15" thickBot="1" x14ac:dyDescent="0.4"/>
    <row r="5" spans="1:33" ht="15" thickBot="1" x14ac:dyDescent="0.4">
      <c r="B5" s="135" t="str">
        <f>B3</f>
        <v>T12</v>
      </c>
      <c r="C5" s="135"/>
      <c r="E5" s="135" t="str">
        <f>C3</f>
        <v>T32</v>
      </c>
      <c r="F5" s="135"/>
      <c r="K5" s="135" t="str">
        <f>K3</f>
        <v>T1</v>
      </c>
      <c r="L5" s="135"/>
      <c r="N5" s="135" t="str">
        <f>L3</f>
        <v>T9</v>
      </c>
      <c r="O5" s="135"/>
      <c r="T5" s="135" t="str">
        <f>T3</f>
        <v>T16</v>
      </c>
      <c r="U5" s="135"/>
      <c r="W5" s="135" t="str">
        <f>U3</f>
        <v>T30</v>
      </c>
      <c r="X5" s="135"/>
      <c r="AC5" s="141" t="s">
        <v>11</v>
      </c>
      <c r="AD5" s="142"/>
      <c r="AE5" s="142"/>
      <c r="AF5" s="142"/>
      <c r="AG5" s="143"/>
    </row>
    <row r="6" spans="1:33" x14ac:dyDescent="0.35">
      <c r="B6" s="158"/>
      <c r="C6" s="159"/>
      <c r="E6" s="158"/>
      <c r="F6" s="159"/>
      <c r="K6" s="158"/>
      <c r="L6" s="159"/>
      <c r="N6" s="158"/>
      <c r="O6" s="159"/>
      <c r="T6" s="158"/>
      <c r="U6" s="159"/>
      <c r="W6" s="158"/>
      <c r="X6" s="159"/>
      <c r="AC6" s="144"/>
      <c r="AD6" s="145"/>
      <c r="AE6" s="145"/>
      <c r="AF6" s="145"/>
      <c r="AG6" s="146"/>
    </row>
    <row r="7" spans="1:33" ht="15" thickBot="1" x14ac:dyDescent="0.4">
      <c r="B7" s="160"/>
      <c r="C7" s="161"/>
      <c r="E7" s="160"/>
      <c r="F7" s="161"/>
      <c r="K7" s="160"/>
      <c r="L7" s="161"/>
      <c r="N7" s="160"/>
      <c r="O7" s="161"/>
      <c r="T7" s="160"/>
      <c r="U7" s="161"/>
      <c r="W7" s="160"/>
      <c r="X7" s="161"/>
      <c r="AC7" s="144"/>
      <c r="AD7" s="145"/>
      <c r="AE7" s="145"/>
      <c r="AF7" s="145"/>
      <c r="AG7" s="146"/>
    </row>
    <row r="8" spans="1:33" ht="15" thickBot="1" x14ac:dyDescent="0.4">
      <c r="B8" s="134" t="str">
        <f>D3</f>
        <v>T37</v>
      </c>
      <c r="C8" s="134"/>
      <c r="E8" s="134" t="str">
        <f>E3</f>
        <v>T40</v>
      </c>
      <c r="F8" s="134"/>
      <c r="K8" s="139" t="str">
        <f>M3</f>
        <v>T31</v>
      </c>
      <c r="L8" s="139"/>
      <c r="N8" s="134" t="str">
        <f>N3</f>
        <v>T23</v>
      </c>
      <c r="O8" s="134"/>
      <c r="T8" s="134" t="str">
        <f>V3</f>
        <v>T20</v>
      </c>
      <c r="U8" s="134"/>
      <c r="W8" s="134" t="str">
        <f>W3</f>
        <v>T39</v>
      </c>
      <c r="X8" s="134"/>
      <c r="AC8" s="144"/>
      <c r="AD8" s="145"/>
      <c r="AE8" s="145"/>
      <c r="AF8" s="145"/>
      <c r="AG8" s="146"/>
    </row>
    <row r="9" spans="1:33" ht="15" thickBot="1" x14ac:dyDescent="0.4">
      <c r="B9" s="158"/>
      <c r="C9" s="159"/>
      <c r="E9" s="158"/>
      <c r="F9" s="159"/>
      <c r="K9" s="158"/>
      <c r="L9" s="159"/>
      <c r="N9" s="158"/>
      <c r="O9" s="159"/>
      <c r="T9" s="158"/>
      <c r="U9" s="159"/>
      <c r="W9" s="158"/>
      <c r="X9" s="159"/>
      <c r="AC9" s="147"/>
      <c r="AD9" s="148"/>
      <c r="AE9" s="148"/>
      <c r="AF9" s="148"/>
      <c r="AG9" s="149"/>
    </row>
    <row r="10" spans="1:33" ht="15" thickBot="1" x14ac:dyDescent="0.4">
      <c r="B10" s="160"/>
      <c r="C10" s="161"/>
      <c r="E10" s="160"/>
      <c r="F10" s="161"/>
      <c r="K10" s="160"/>
      <c r="L10" s="161"/>
      <c r="N10" s="160"/>
      <c r="O10" s="161"/>
      <c r="T10" s="160"/>
      <c r="U10" s="161"/>
      <c r="W10" s="160"/>
      <c r="X10" s="161"/>
    </row>
    <row r="11" spans="1:33" x14ac:dyDescent="0.35">
      <c r="B11" s="136"/>
      <c r="C11" s="136"/>
      <c r="E11" s="136"/>
      <c r="F11" s="136"/>
      <c r="K11" s="136"/>
      <c r="L11" s="136"/>
      <c r="N11" s="136"/>
      <c r="O11" s="136"/>
      <c r="T11" s="136"/>
      <c r="U11" s="136"/>
      <c r="W11" s="136"/>
      <c r="X11" s="136"/>
    </row>
    <row r="12" spans="1:33" x14ac:dyDescent="0.35">
      <c r="B12" s="133" t="str">
        <f>'Schema!!!!!!'!F1</f>
        <v>ronde 2</v>
      </c>
      <c r="C12" s="133"/>
      <c r="D12" s="133"/>
      <c r="E12" s="133"/>
      <c r="F12" s="133"/>
      <c r="K12" s="133" t="str">
        <f>'Schema!!!!!!'!F12</f>
        <v>ronde 5</v>
      </c>
      <c r="L12" s="133"/>
      <c r="M12" s="133"/>
      <c r="N12" s="133"/>
      <c r="O12" s="133"/>
      <c r="T12" s="133" t="str">
        <f>'Schema!!!!!!'!J23</f>
        <v>ronde 8</v>
      </c>
      <c r="U12" s="133"/>
      <c r="V12" s="133"/>
      <c r="W12" s="133"/>
      <c r="X12" s="133"/>
    </row>
    <row r="13" spans="1:33" x14ac:dyDescent="0.35">
      <c r="B13" s="133" t="str">
        <f>B2</f>
        <v>Kamelenrace</v>
      </c>
      <c r="C13" s="133"/>
      <c r="D13" s="133"/>
      <c r="E13" s="133"/>
      <c r="F13" s="133"/>
      <c r="K13" s="133" t="str">
        <f>K2</f>
        <v>Kamelenrace</v>
      </c>
      <c r="L13" s="133"/>
      <c r="M13" s="133"/>
      <c r="N13" s="133"/>
      <c r="O13" s="133"/>
      <c r="T13" s="133" t="str">
        <f>T2</f>
        <v>Kamelenrace</v>
      </c>
      <c r="U13" s="133"/>
      <c r="V13" s="133"/>
      <c r="W13" s="133"/>
      <c r="X13" s="133"/>
    </row>
    <row r="14" spans="1:33" ht="15" customHeight="1" x14ac:dyDescent="0.35">
      <c r="B14" s="14" t="str">
        <f>'Schema!!!!!!'!F8</f>
        <v>T7</v>
      </c>
      <c r="C14" s="14" t="str">
        <f>'Schema!!!!!!'!G8</f>
        <v>T4</v>
      </c>
      <c r="D14" t="str">
        <f>'Schema!!!!!!'!H8</f>
        <v>T11</v>
      </c>
      <c r="E14" t="str">
        <f>'Schema!!!!!!'!I8</f>
        <v>T25</v>
      </c>
      <c r="K14" s="14" t="str">
        <f>'Schema!!!!!!'!F19</f>
        <v>T3</v>
      </c>
      <c r="L14" s="14" t="str">
        <f>'Schema!!!!!!'!G19</f>
        <v>T15</v>
      </c>
      <c r="M14" s="14" t="str">
        <f>'Schema!!!!!!'!H19</f>
        <v>T5</v>
      </c>
      <c r="N14" s="14" t="str">
        <f>'Schema!!!!!!'!I19</f>
        <v>T34</v>
      </c>
      <c r="O14" s="14">
        <f>'Schema!!!!!!'!J19</f>
        <v>0</v>
      </c>
      <c r="T14" t="str">
        <f>'Schema!!!!!!'!J31</f>
        <v>T10</v>
      </c>
      <c r="U14" t="str">
        <f>'Schema!!!!!!'!K31</f>
        <v>T27</v>
      </c>
      <c r="V14" t="str">
        <f>'Schema!!!!!!'!L31</f>
        <v>T31</v>
      </c>
      <c r="W14" t="str">
        <f>'Schema!!!!!!'!M31</f>
        <v>T35</v>
      </c>
    </row>
    <row r="15" spans="1:33" ht="15" customHeight="1" x14ac:dyDescent="0.35"/>
    <row r="16" spans="1:33" ht="15.75" customHeight="1" thickBot="1" x14ac:dyDescent="0.4">
      <c r="B16" s="168" t="str">
        <f>B14</f>
        <v>T7</v>
      </c>
      <c r="C16" s="168"/>
      <c r="D16" s="106"/>
      <c r="E16" s="168" t="str">
        <f>C14</f>
        <v>T4</v>
      </c>
      <c r="F16" s="168"/>
      <c r="G16" s="106"/>
      <c r="H16" s="106"/>
      <c r="I16" s="106"/>
      <c r="J16" s="106"/>
      <c r="K16" s="168" t="str">
        <f>K14</f>
        <v>T3</v>
      </c>
      <c r="L16" s="168"/>
      <c r="M16" s="106"/>
      <c r="N16" s="168" t="str">
        <f>L14</f>
        <v>T15</v>
      </c>
      <c r="O16" s="168"/>
      <c r="P16" s="106"/>
      <c r="Q16" s="106"/>
      <c r="R16" s="106"/>
      <c r="S16" s="106"/>
      <c r="T16" s="168" t="str">
        <f>T14</f>
        <v>T10</v>
      </c>
      <c r="U16" s="168"/>
      <c r="V16" s="106"/>
      <c r="W16" s="168" t="str">
        <f>U14</f>
        <v>T27</v>
      </c>
      <c r="X16" s="168"/>
    </row>
    <row r="17" spans="2:24" ht="15" customHeight="1" x14ac:dyDescent="0.35">
      <c r="B17" s="162"/>
      <c r="C17" s="163"/>
      <c r="D17" s="106"/>
      <c r="E17" s="162"/>
      <c r="F17" s="163"/>
      <c r="G17" s="106"/>
      <c r="H17" s="106"/>
      <c r="I17" s="106"/>
      <c r="J17" s="106"/>
      <c r="K17" s="162"/>
      <c r="L17" s="163"/>
      <c r="M17" s="106"/>
      <c r="N17" s="162"/>
      <c r="O17" s="163"/>
      <c r="P17" s="106"/>
      <c r="Q17" s="106"/>
      <c r="R17" s="106"/>
      <c r="S17" s="106"/>
      <c r="T17" s="162"/>
      <c r="U17" s="163"/>
      <c r="V17" s="106"/>
      <c r="W17" s="162"/>
      <c r="X17" s="163"/>
    </row>
    <row r="18" spans="2:24" ht="15.75" customHeight="1" thickBot="1" x14ac:dyDescent="0.4">
      <c r="B18" s="164"/>
      <c r="C18" s="165"/>
      <c r="D18" s="106"/>
      <c r="E18" s="164"/>
      <c r="F18" s="165"/>
      <c r="G18" s="106"/>
      <c r="H18" s="106"/>
      <c r="I18" s="106"/>
      <c r="J18" s="106"/>
      <c r="K18" s="164"/>
      <c r="L18" s="165"/>
      <c r="M18" s="106"/>
      <c r="N18" s="164"/>
      <c r="O18" s="165"/>
      <c r="P18" s="106"/>
      <c r="Q18" s="106"/>
      <c r="R18" s="106"/>
      <c r="S18" s="106"/>
      <c r="T18" s="164"/>
      <c r="U18" s="165"/>
      <c r="V18" s="106"/>
      <c r="W18" s="164"/>
      <c r="X18" s="165"/>
    </row>
    <row r="19" spans="2:24" ht="15" thickBot="1" x14ac:dyDescent="0.4">
      <c r="B19" s="166" t="str">
        <f>D14</f>
        <v>T11</v>
      </c>
      <c r="C19" s="166"/>
      <c r="D19" s="106"/>
      <c r="E19" s="166" t="str">
        <f>E14</f>
        <v>T25</v>
      </c>
      <c r="F19" s="166"/>
      <c r="G19" s="106"/>
      <c r="H19" s="106"/>
      <c r="I19" s="106"/>
      <c r="J19" s="106"/>
      <c r="K19" s="166" t="str">
        <f>M14</f>
        <v>T5</v>
      </c>
      <c r="L19" s="166"/>
      <c r="M19" s="106"/>
      <c r="N19" s="166" t="str">
        <f>N14</f>
        <v>T34</v>
      </c>
      <c r="O19" s="166"/>
      <c r="P19" s="106"/>
      <c r="Q19" s="106"/>
      <c r="R19" s="106"/>
      <c r="S19" s="106"/>
      <c r="T19" s="166" t="str">
        <f>V14</f>
        <v>T31</v>
      </c>
      <c r="U19" s="166"/>
      <c r="V19" s="106"/>
      <c r="W19" s="166" t="str">
        <f>W14</f>
        <v>T35</v>
      </c>
      <c r="X19" s="166"/>
    </row>
    <row r="20" spans="2:24" x14ac:dyDescent="0.35">
      <c r="B20" s="162"/>
      <c r="C20" s="163"/>
      <c r="D20" s="106"/>
      <c r="E20" s="162"/>
      <c r="F20" s="163"/>
      <c r="G20" s="106"/>
      <c r="H20" s="106"/>
      <c r="I20" s="106"/>
      <c r="J20" s="106"/>
      <c r="K20" s="162"/>
      <c r="L20" s="163"/>
      <c r="M20" s="106"/>
      <c r="N20" s="162"/>
      <c r="O20" s="163"/>
      <c r="P20" s="106"/>
      <c r="Q20" s="106"/>
      <c r="R20" s="106"/>
      <c r="S20" s="106"/>
      <c r="T20" s="162"/>
      <c r="U20" s="163"/>
      <c r="V20" s="106"/>
      <c r="W20" s="162"/>
      <c r="X20" s="163"/>
    </row>
    <row r="21" spans="2:24" ht="15" thickBot="1" x14ac:dyDescent="0.4">
      <c r="B21" s="164"/>
      <c r="C21" s="165"/>
      <c r="D21" s="106"/>
      <c r="E21" s="164"/>
      <c r="F21" s="165"/>
      <c r="G21" s="106"/>
      <c r="H21" s="106"/>
      <c r="I21" s="106"/>
      <c r="J21" s="106"/>
      <c r="K21" s="164"/>
      <c r="L21" s="165"/>
      <c r="M21" s="106"/>
      <c r="N21" s="164"/>
      <c r="O21" s="165"/>
      <c r="P21" s="106"/>
      <c r="Q21" s="106"/>
      <c r="R21" s="106"/>
      <c r="S21" s="106"/>
      <c r="T21" s="164"/>
      <c r="U21" s="165"/>
      <c r="V21" s="106"/>
      <c r="W21" s="164"/>
      <c r="X21" s="165"/>
    </row>
    <row r="22" spans="2:24" x14ac:dyDescent="0.35"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</row>
    <row r="23" spans="2:24" x14ac:dyDescent="0.35"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</row>
    <row r="24" spans="2:24" x14ac:dyDescent="0.35"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</row>
    <row r="25" spans="2:24" x14ac:dyDescent="0.35"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</row>
    <row r="26" spans="2:24" x14ac:dyDescent="0.35">
      <c r="B26" s="167" t="str">
        <f>'Schema!!!!!!'!J1</f>
        <v>ronde 3</v>
      </c>
      <c r="C26" s="167"/>
      <c r="D26" s="167"/>
      <c r="E26" s="167"/>
      <c r="F26" s="167"/>
      <c r="G26" s="106"/>
      <c r="H26" s="106"/>
      <c r="I26" s="106"/>
      <c r="J26" s="106"/>
      <c r="K26" s="167" t="str">
        <f>'Schema!!!!!!'!B23</f>
        <v>ronde 6</v>
      </c>
      <c r="L26" s="167"/>
      <c r="M26" s="167"/>
      <c r="N26" s="167"/>
      <c r="O26" s="167"/>
      <c r="P26" s="106"/>
      <c r="Q26" s="106"/>
      <c r="R26" s="106"/>
      <c r="S26" s="106"/>
      <c r="T26" s="167" t="str">
        <f>'Schema!!!!!!'!B34</f>
        <v>ronde 9</v>
      </c>
      <c r="U26" s="167"/>
      <c r="V26" s="167"/>
      <c r="W26" s="167"/>
      <c r="X26" s="167"/>
    </row>
    <row r="27" spans="2:24" x14ac:dyDescent="0.35">
      <c r="B27" s="167" t="str">
        <f>B2</f>
        <v>Kamelenrace</v>
      </c>
      <c r="C27" s="167"/>
      <c r="D27" s="167"/>
      <c r="E27" s="167"/>
      <c r="F27" s="167"/>
      <c r="G27" s="106"/>
      <c r="H27" s="106"/>
      <c r="I27" s="106"/>
      <c r="J27" s="106"/>
      <c r="K27" s="167" t="str">
        <f>K2</f>
        <v>Kamelenrace</v>
      </c>
      <c r="L27" s="167"/>
      <c r="M27" s="167"/>
      <c r="N27" s="167"/>
      <c r="O27" s="167"/>
      <c r="P27" s="106"/>
      <c r="Q27" s="106"/>
      <c r="R27" s="106"/>
      <c r="S27" s="106"/>
      <c r="T27" s="167" t="str">
        <f>T13</f>
        <v>Kamelenrace</v>
      </c>
      <c r="U27" s="167"/>
      <c r="V27" s="167"/>
      <c r="W27" s="167"/>
      <c r="X27" s="167"/>
    </row>
    <row r="28" spans="2:24" x14ac:dyDescent="0.35">
      <c r="B28" s="106" t="str">
        <f>'Schema!!!!!!'!J8</f>
        <v>T2</v>
      </c>
      <c r="C28" s="106" t="str">
        <f>'Schema!!!!!!'!K8</f>
        <v>T8</v>
      </c>
      <c r="D28" s="106" t="str">
        <f>'Schema!!!!!!'!L8</f>
        <v>T24</v>
      </c>
      <c r="E28" s="106" t="str">
        <f>'Schema!!!!!!'!M8</f>
        <v>T6</v>
      </c>
      <c r="F28" s="106"/>
      <c r="G28" s="106"/>
      <c r="H28" s="106"/>
      <c r="I28" s="106"/>
      <c r="J28" s="106"/>
      <c r="K28" s="106" t="e">
        <f>'Schema!!!!!!'!B31</f>
        <v>#REF!</v>
      </c>
      <c r="L28" s="106" t="str">
        <f>'Schema!!!!!!'!C31</f>
        <v>T21</v>
      </c>
      <c r="M28" s="106" t="str">
        <f>'Schema!!!!!!'!D31</f>
        <v>T28</v>
      </c>
      <c r="N28" s="106" t="str">
        <f>'Schema!!!!!!'!E31</f>
        <v>T26</v>
      </c>
      <c r="O28" s="106"/>
      <c r="P28" s="106"/>
      <c r="Q28" s="106"/>
      <c r="R28" s="106"/>
      <c r="S28" s="106"/>
      <c r="T28" s="106" t="str">
        <f>'Schema!!!!!!'!B42</f>
        <v>T14</v>
      </c>
      <c r="U28" s="106" t="str">
        <f>'Schema!!!!!!'!C42</f>
        <v>T19</v>
      </c>
      <c r="V28" s="106" t="str">
        <f>'Schema!!!!!!'!D42</f>
        <v>T38</v>
      </c>
      <c r="W28" s="106" t="str">
        <f>'Schema!!!!!!'!E42</f>
        <v>T38</v>
      </c>
      <c r="X28" s="106"/>
    </row>
    <row r="29" spans="2:24" x14ac:dyDescent="0.35"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</row>
    <row r="30" spans="2:24" ht="15" thickBot="1" x14ac:dyDescent="0.4">
      <c r="B30" s="168" t="str">
        <f>B28</f>
        <v>T2</v>
      </c>
      <c r="C30" s="168"/>
      <c r="D30" s="106"/>
      <c r="E30" s="168" t="str">
        <f>C28</f>
        <v>T8</v>
      </c>
      <c r="F30" s="168"/>
      <c r="G30" s="106"/>
      <c r="H30" s="106"/>
      <c r="I30" s="106"/>
      <c r="J30" s="106"/>
      <c r="K30" s="168" t="e">
        <f>K28</f>
        <v>#REF!</v>
      </c>
      <c r="L30" s="168"/>
      <c r="M30" s="106"/>
      <c r="N30" s="168" t="str">
        <f>L28</f>
        <v>T21</v>
      </c>
      <c r="O30" s="168"/>
      <c r="P30" s="106"/>
      <c r="Q30" s="106"/>
      <c r="R30" s="106"/>
      <c r="S30" s="106"/>
      <c r="T30" s="168" t="str">
        <f>T28</f>
        <v>T14</v>
      </c>
      <c r="U30" s="168"/>
      <c r="V30" s="106"/>
      <c r="W30" s="168" t="str">
        <f>U28</f>
        <v>T19</v>
      </c>
      <c r="X30" s="168"/>
    </row>
    <row r="31" spans="2:24" x14ac:dyDescent="0.35">
      <c r="B31" s="162"/>
      <c r="C31" s="163"/>
      <c r="D31" s="106"/>
      <c r="E31" s="162"/>
      <c r="F31" s="163"/>
      <c r="G31" s="106"/>
      <c r="H31" s="106"/>
      <c r="I31" s="106"/>
      <c r="J31" s="106"/>
      <c r="K31" s="162"/>
      <c r="L31" s="163"/>
      <c r="M31" s="106"/>
      <c r="N31" s="162"/>
      <c r="O31" s="163"/>
      <c r="P31" s="106"/>
      <c r="Q31" s="106"/>
      <c r="R31" s="106"/>
      <c r="S31" s="106"/>
      <c r="T31" s="162"/>
      <c r="U31" s="163"/>
      <c r="V31" s="106"/>
      <c r="W31" s="162"/>
      <c r="X31" s="163"/>
    </row>
    <row r="32" spans="2:24" ht="15" thickBot="1" x14ac:dyDescent="0.4">
      <c r="B32" s="164"/>
      <c r="C32" s="165"/>
      <c r="D32" s="106"/>
      <c r="E32" s="164"/>
      <c r="F32" s="165"/>
      <c r="G32" s="106"/>
      <c r="H32" s="106"/>
      <c r="I32" s="106"/>
      <c r="J32" s="106"/>
      <c r="K32" s="164"/>
      <c r="L32" s="165"/>
      <c r="M32" s="106"/>
      <c r="N32" s="164"/>
      <c r="O32" s="165"/>
      <c r="P32" s="106"/>
      <c r="Q32" s="106"/>
      <c r="R32" s="106"/>
      <c r="S32" s="106"/>
      <c r="T32" s="164"/>
      <c r="U32" s="165"/>
      <c r="V32" s="106"/>
      <c r="W32" s="164"/>
      <c r="X32" s="165"/>
    </row>
    <row r="33" spans="2:24" ht="15" thickBot="1" x14ac:dyDescent="0.4">
      <c r="B33" s="166" t="str">
        <f>D28</f>
        <v>T24</v>
      </c>
      <c r="C33" s="166"/>
      <c r="D33" s="106"/>
      <c r="E33" s="166" t="str">
        <f>E28</f>
        <v>T6</v>
      </c>
      <c r="F33" s="166"/>
      <c r="G33" s="106"/>
      <c r="H33" s="106"/>
      <c r="I33" s="106"/>
      <c r="J33" s="106"/>
      <c r="K33" s="166" t="str">
        <f>M28</f>
        <v>T28</v>
      </c>
      <c r="L33" s="166"/>
      <c r="M33" s="106"/>
      <c r="N33" s="166" t="str">
        <f>N28</f>
        <v>T26</v>
      </c>
      <c r="O33" s="166"/>
      <c r="P33" s="106"/>
      <c r="Q33" s="106"/>
      <c r="R33" s="106"/>
      <c r="S33" s="106"/>
      <c r="T33" s="166" t="str">
        <f>V28</f>
        <v>T38</v>
      </c>
      <c r="U33" s="166"/>
      <c r="V33" s="106"/>
      <c r="W33" s="166" t="str">
        <f>W28</f>
        <v>T38</v>
      </c>
      <c r="X33" s="166"/>
    </row>
    <row r="34" spans="2:24" x14ac:dyDescent="0.35">
      <c r="B34" s="162"/>
      <c r="C34" s="163"/>
      <c r="D34" s="106"/>
      <c r="E34" s="162"/>
      <c r="F34" s="163"/>
      <c r="G34" s="106"/>
      <c r="H34" s="106"/>
      <c r="I34" s="106"/>
      <c r="J34" s="106"/>
      <c r="K34" s="162"/>
      <c r="L34" s="163"/>
      <c r="M34" s="106"/>
      <c r="N34" s="162"/>
      <c r="O34" s="163"/>
      <c r="P34" s="106"/>
      <c r="Q34" s="106"/>
      <c r="R34" s="106"/>
      <c r="S34" s="106"/>
      <c r="T34" s="162"/>
      <c r="U34" s="163"/>
      <c r="V34" s="106"/>
      <c r="W34" s="162"/>
      <c r="X34" s="163"/>
    </row>
    <row r="35" spans="2:24" ht="15" thickBot="1" x14ac:dyDescent="0.4">
      <c r="B35" s="164"/>
      <c r="C35" s="165"/>
      <c r="D35" s="106"/>
      <c r="E35" s="164"/>
      <c r="F35" s="165"/>
      <c r="G35" s="106"/>
      <c r="H35" s="106"/>
      <c r="I35" s="106"/>
      <c r="J35" s="106"/>
      <c r="K35" s="164"/>
      <c r="L35" s="165"/>
      <c r="M35" s="106"/>
      <c r="N35" s="164"/>
      <c r="O35" s="165"/>
      <c r="P35" s="106"/>
      <c r="Q35" s="106"/>
      <c r="R35" s="106"/>
      <c r="S35" s="106"/>
      <c r="T35" s="164"/>
      <c r="U35" s="165"/>
      <c r="V35" s="106"/>
      <c r="W35" s="164"/>
      <c r="X35" s="165"/>
    </row>
    <row r="36" spans="2:24" x14ac:dyDescent="0.35">
      <c r="B36" s="136"/>
      <c r="C36" s="136"/>
      <c r="E36" s="136"/>
      <c r="F36" s="136"/>
    </row>
    <row r="37" spans="2:24" x14ac:dyDescent="0.35">
      <c r="B37" s="12"/>
      <c r="C37" s="12"/>
      <c r="D37" s="12"/>
      <c r="E37" s="12"/>
      <c r="F37" s="12"/>
    </row>
    <row r="38" spans="2:24" x14ac:dyDescent="0.35">
      <c r="B38" s="12"/>
      <c r="C38" s="12"/>
      <c r="D38" s="12"/>
      <c r="E38" s="12"/>
      <c r="F38" s="12"/>
    </row>
    <row r="39" spans="2:24" x14ac:dyDescent="0.35">
      <c r="B39" s="12"/>
      <c r="C39" s="12"/>
      <c r="D39" s="12"/>
      <c r="E39" s="12"/>
      <c r="F39" s="12"/>
    </row>
    <row r="40" spans="2:24" x14ac:dyDescent="0.35">
      <c r="B40" s="12"/>
      <c r="C40" s="12"/>
      <c r="D40" s="12"/>
      <c r="E40" s="12"/>
      <c r="F40" s="12"/>
    </row>
    <row r="41" spans="2:24" x14ac:dyDescent="0.35">
      <c r="B41" s="12"/>
      <c r="C41" s="12"/>
      <c r="D41" s="12"/>
      <c r="E41" s="12"/>
      <c r="F41" s="12"/>
    </row>
    <row r="42" spans="2:24" x14ac:dyDescent="0.35">
      <c r="B42" s="12"/>
      <c r="C42" s="12"/>
      <c r="D42" s="12"/>
      <c r="E42" s="12"/>
      <c r="F42" s="12"/>
    </row>
  </sheetData>
  <mergeCells count="101">
    <mergeCell ref="AC1:AG1"/>
    <mergeCell ref="AC2:AG2"/>
    <mergeCell ref="AC5:AG9"/>
    <mergeCell ref="W5:X5"/>
    <mergeCell ref="B1:F1"/>
    <mergeCell ref="K1:O1"/>
    <mergeCell ref="T1:X1"/>
    <mergeCell ref="B2:F2"/>
    <mergeCell ref="K2:O2"/>
    <mergeCell ref="T2:X2"/>
    <mergeCell ref="B5:C5"/>
    <mergeCell ref="E5:F5"/>
    <mergeCell ref="K5:L5"/>
    <mergeCell ref="N5:O5"/>
    <mergeCell ref="T5:U5"/>
    <mergeCell ref="W8:X8"/>
    <mergeCell ref="B6:C7"/>
    <mergeCell ref="E6:F7"/>
    <mergeCell ref="K6:L7"/>
    <mergeCell ref="N6:O7"/>
    <mergeCell ref="T6:U7"/>
    <mergeCell ref="W6:X7"/>
    <mergeCell ref="B8:C8"/>
    <mergeCell ref="E8:F8"/>
    <mergeCell ref="K8:L8"/>
    <mergeCell ref="N8:O8"/>
    <mergeCell ref="T8:U8"/>
    <mergeCell ref="W11:X11"/>
    <mergeCell ref="B9:C10"/>
    <mergeCell ref="E9:F10"/>
    <mergeCell ref="K9:L10"/>
    <mergeCell ref="N9:O10"/>
    <mergeCell ref="T9:U10"/>
    <mergeCell ref="W9:X10"/>
    <mergeCell ref="B11:C11"/>
    <mergeCell ref="E11:F11"/>
    <mergeCell ref="K11:L11"/>
    <mergeCell ref="N11:O11"/>
    <mergeCell ref="T11:U11"/>
    <mergeCell ref="B12:F12"/>
    <mergeCell ref="K12:O12"/>
    <mergeCell ref="T12:X12"/>
    <mergeCell ref="B13:F13"/>
    <mergeCell ref="K13:O13"/>
    <mergeCell ref="T13:X13"/>
    <mergeCell ref="B16:C16"/>
    <mergeCell ref="E16:F16"/>
    <mergeCell ref="T16:U16"/>
    <mergeCell ref="W16:X16"/>
    <mergeCell ref="B17:C18"/>
    <mergeCell ref="E17:F18"/>
    <mergeCell ref="T17:U18"/>
    <mergeCell ref="W17:X18"/>
    <mergeCell ref="K16:L16"/>
    <mergeCell ref="N16:O16"/>
    <mergeCell ref="K17:L18"/>
    <mergeCell ref="N17:O18"/>
    <mergeCell ref="B19:C19"/>
    <mergeCell ref="E19:F19"/>
    <mergeCell ref="T19:U19"/>
    <mergeCell ref="W19:X19"/>
    <mergeCell ref="B20:C21"/>
    <mergeCell ref="E20:F21"/>
    <mergeCell ref="T20:U21"/>
    <mergeCell ref="W20:X21"/>
    <mergeCell ref="K19:L19"/>
    <mergeCell ref="N19:O19"/>
    <mergeCell ref="K20:L21"/>
    <mergeCell ref="N20:O21"/>
    <mergeCell ref="B26:F26"/>
    <mergeCell ref="K26:O26"/>
    <mergeCell ref="T26:X26"/>
    <mergeCell ref="B27:F27"/>
    <mergeCell ref="K27:O27"/>
    <mergeCell ref="T27:X27"/>
    <mergeCell ref="W31:X32"/>
    <mergeCell ref="B30:C30"/>
    <mergeCell ref="E30:F30"/>
    <mergeCell ref="K30:L30"/>
    <mergeCell ref="N30:O30"/>
    <mergeCell ref="T30:U30"/>
    <mergeCell ref="W30:X30"/>
    <mergeCell ref="B31:C32"/>
    <mergeCell ref="E31:F32"/>
    <mergeCell ref="K31:L32"/>
    <mergeCell ref="N31:O32"/>
    <mergeCell ref="T31:U32"/>
    <mergeCell ref="B36:C36"/>
    <mergeCell ref="E36:F36"/>
    <mergeCell ref="B34:C35"/>
    <mergeCell ref="E34:F35"/>
    <mergeCell ref="K34:L35"/>
    <mergeCell ref="N34:O35"/>
    <mergeCell ref="T34:U35"/>
    <mergeCell ref="W34:X35"/>
    <mergeCell ref="B33:C33"/>
    <mergeCell ref="E33:F33"/>
    <mergeCell ref="K33:L33"/>
    <mergeCell ref="N33:O33"/>
    <mergeCell ref="T33:U33"/>
    <mergeCell ref="W33:X33"/>
  </mergeCells>
  <pageMargins left="0.70000000000000007" right="0.70000000000000007" top="0.75" bottom="0.75" header="0.30000000000000004" footer="0.30000000000000004"/>
  <pageSetup paperSize="9" orientation="portrait" r:id="rId1"/>
  <colBreaks count="2" manualBreakCount="2">
    <brk id="17" max="1048575" man="1"/>
    <brk id="2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42"/>
  <sheetViews>
    <sheetView view="pageBreakPreview" topLeftCell="G1" zoomScale="60" zoomScaleNormal="70" workbookViewId="0">
      <selection activeCell="N19" sqref="N19:O19"/>
    </sheetView>
  </sheetViews>
  <sheetFormatPr defaultRowHeight="14.5" x14ac:dyDescent="0.35"/>
  <cols>
    <col min="1" max="3" width="8.81640625" customWidth="1"/>
    <col min="4" max="4" width="17.81640625" customWidth="1"/>
    <col min="5" max="5" width="8.81640625" customWidth="1"/>
    <col min="8" max="9" width="8.7265625" customWidth="1"/>
  </cols>
  <sheetData>
    <row r="1" spans="1:33" x14ac:dyDescent="0.35">
      <c r="A1" s="3"/>
      <c r="B1" s="133" t="str">
        <f>'Schema!!!!!!'!B1</f>
        <v>ronde 1</v>
      </c>
      <c r="C1" s="133"/>
      <c r="D1" s="133"/>
      <c r="E1" s="133"/>
      <c r="F1" s="133"/>
      <c r="K1" s="133" t="str">
        <f>'Schema!!!!!!'!B12</f>
        <v>ronde 4</v>
      </c>
      <c r="L1" s="133"/>
      <c r="M1" s="133"/>
      <c r="N1" s="133"/>
      <c r="O1" s="133"/>
      <c r="S1" s="3"/>
      <c r="T1" s="133" t="str">
        <f>'Schema!!!!!!'!F23</f>
        <v>ronde 7</v>
      </c>
      <c r="U1" s="133"/>
      <c r="V1" s="133"/>
      <c r="W1" s="133"/>
      <c r="X1" s="133"/>
      <c r="AC1" s="133" t="str">
        <f>'Schema!!!!!!'!F34</f>
        <v>ronde 10</v>
      </c>
      <c r="AD1" s="133"/>
      <c r="AE1" s="133"/>
      <c r="AF1" s="133"/>
      <c r="AG1" s="133"/>
    </row>
    <row r="2" spans="1:33" x14ac:dyDescent="0.35">
      <c r="B2" s="167" t="str">
        <f>'Schema!!!!!!'!A43</f>
        <v>Memory Romy</v>
      </c>
      <c r="C2" s="167"/>
      <c r="D2" s="167"/>
      <c r="E2" s="167"/>
      <c r="F2" s="167"/>
      <c r="G2" s="106"/>
      <c r="H2" s="106"/>
      <c r="I2" s="106"/>
      <c r="J2" s="106"/>
      <c r="K2" s="167" t="str">
        <f>B2</f>
        <v>Memory Romy</v>
      </c>
      <c r="L2" s="167"/>
      <c r="M2" s="167"/>
      <c r="N2" s="167"/>
      <c r="O2" s="167"/>
      <c r="P2" s="106"/>
      <c r="Q2" s="106"/>
      <c r="R2" s="106"/>
      <c r="S2" s="106"/>
      <c r="T2" s="167" t="str">
        <f>K2</f>
        <v>Memory Romy</v>
      </c>
      <c r="U2" s="167"/>
      <c r="V2" s="167"/>
      <c r="W2" s="167"/>
      <c r="X2" s="167"/>
      <c r="AC2" s="133" t="str">
        <f>T2</f>
        <v>Memory Romy</v>
      </c>
      <c r="AD2" s="133"/>
      <c r="AE2" s="133"/>
      <c r="AF2" s="133"/>
      <c r="AG2" s="133"/>
    </row>
    <row r="3" spans="1:33" x14ac:dyDescent="0.35">
      <c r="B3" s="106" t="str">
        <f>'Schema!!!!!!'!B9</f>
        <v>T3</v>
      </c>
      <c r="C3" s="106" t="str">
        <f>'Schema!!!!!!'!C9</f>
        <v>T15</v>
      </c>
      <c r="D3" s="106" t="str">
        <f>'Schema!!!!!!'!D9</f>
        <v>T24</v>
      </c>
      <c r="E3" s="106" t="str">
        <f>'Schema!!!!!!'!E9</f>
        <v>T25</v>
      </c>
      <c r="F3" s="106"/>
      <c r="G3" s="106"/>
      <c r="H3" s="106"/>
      <c r="I3" s="106"/>
      <c r="J3" s="106"/>
      <c r="K3" s="106" t="str">
        <f>'Schema!!!!!!'!B20</f>
        <v>T2</v>
      </c>
      <c r="L3" s="106" t="str">
        <f>'Schema!!!!!!'!C20</f>
        <v>T32</v>
      </c>
      <c r="M3" s="106" t="str">
        <f>'Schema!!!!!!'!D20</f>
        <v>T37</v>
      </c>
      <c r="N3" s="106" t="str">
        <f>'Schema!!!!!!'!E20</f>
        <v>T34</v>
      </c>
      <c r="O3" s="106"/>
      <c r="P3" s="106"/>
      <c r="Q3" s="106"/>
      <c r="R3" s="106"/>
      <c r="S3" s="106"/>
      <c r="T3" s="106" t="e">
        <f>'Schema!!!!!!'!F32</f>
        <v>#REF!</v>
      </c>
      <c r="U3" s="106" t="str">
        <f>'Schema!!!!!!'!G32</f>
        <v>T27</v>
      </c>
      <c r="V3" s="106" t="str">
        <f>'Schema!!!!!!'!H32</f>
        <v>T38</v>
      </c>
      <c r="W3" s="106" t="str">
        <f>'Schema!!!!!!'!I32</f>
        <v>T38</v>
      </c>
      <c r="X3" s="106"/>
    </row>
    <row r="4" spans="1:33" ht="15" thickBot="1" x14ac:dyDescent="0.4"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</row>
    <row r="5" spans="1:33" ht="15" thickBot="1" x14ac:dyDescent="0.4">
      <c r="B5" s="168" t="str">
        <f>B3</f>
        <v>T3</v>
      </c>
      <c r="C5" s="168"/>
      <c r="D5" s="106"/>
      <c r="E5" s="168" t="str">
        <f>C3</f>
        <v>T15</v>
      </c>
      <c r="F5" s="168"/>
      <c r="G5" s="106"/>
      <c r="H5" s="106"/>
      <c r="I5" s="106"/>
      <c r="J5" s="106"/>
      <c r="K5" s="168" t="str">
        <f>K3</f>
        <v>T2</v>
      </c>
      <c r="L5" s="168"/>
      <c r="M5" s="106"/>
      <c r="N5" s="168" t="str">
        <f>L3</f>
        <v>T32</v>
      </c>
      <c r="O5" s="168"/>
      <c r="P5" s="106"/>
      <c r="Q5" s="106"/>
      <c r="R5" s="106"/>
      <c r="S5" s="106"/>
      <c r="T5" s="168" t="e">
        <f>T3</f>
        <v>#REF!</v>
      </c>
      <c r="U5" s="168"/>
      <c r="V5" s="106"/>
      <c r="W5" s="168" t="str">
        <f>U3</f>
        <v>T27</v>
      </c>
      <c r="X5" s="168"/>
      <c r="AC5" s="141" t="s">
        <v>11</v>
      </c>
      <c r="AD5" s="142"/>
      <c r="AE5" s="142"/>
      <c r="AF5" s="142"/>
      <c r="AG5" s="143"/>
    </row>
    <row r="6" spans="1:33" x14ac:dyDescent="0.35">
      <c r="B6" s="162"/>
      <c r="C6" s="163"/>
      <c r="D6" s="106"/>
      <c r="E6" s="162"/>
      <c r="F6" s="163"/>
      <c r="G6" s="106"/>
      <c r="H6" s="106"/>
      <c r="I6" s="106"/>
      <c r="J6" s="106"/>
      <c r="K6" s="162"/>
      <c r="L6" s="163"/>
      <c r="M6" s="106"/>
      <c r="N6" s="162"/>
      <c r="O6" s="163"/>
      <c r="P6" s="106"/>
      <c r="Q6" s="106"/>
      <c r="R6" s="106"/>
      <c r="S6" s="106"/>
      <c r="T6" s="162"/>
      <c r="U6" s="163"/>
      <c r="V6" s="106"/>
      <c r="W6" s="162"/>
      <c r="X6" s="163"/>
      <c r="AC6" s="144"/>
      <c r="AD6" s="145"/>
      <c r="AE6" s="145"/>
      <c r="AF6" s="145"/>
      <c r="AG6" s="146"/>
    </row>
    <row r="7" spans="1:33" ht="15" thickBot="1" x14ac:dyDescent="0.4">
      <c r="B7" s="164"/>
      <c r="C7" s="165"/>
      <c r="D7" s="106"/>
      <c r="E7" s="164"/>
      <c r="F7" s="165"/>
      <c r="G7" s="106"/>
      <c r="H7" s="106"/>
      <c r="I7" s="106"/>
      <c r="J7" s="106"/>
      <c r="K7" s="164"/>
      <c r="L7" s="165"/>
      <c r="M7" s="106"/>
      <c r="N7" s="164"/>
      <c r="O7" s="165"/>
      <c r="P7" s="106"/>
      <c r="Q7" s="106"/>
      <c r="R7" s="106"/>
      <c r="S7" s="106"/>
      <c r="T7" s="164"/>
      <c r="U7" s="165"/>
      <c r="V7" s="106"/>
      <c r="W7" s="164"/>
      <c r="X7" s="165"/>
      <c r="AC7" s="144"/>
      <c r="AD7" s="145"/>
      <c r="AE7" s="145"/>
      <c r="AF7" s="145"/>
      <c r="AG7" s="146"/>
    </row>
    <row r="8" spans="1:33" ht="15" thickBot="1" x14ac:dyDescent="0.4">
      <c r="B8" s="166" t="str">
        <f>D3</f>
        <v>T24</v>
      </c>
      <c r="C8" s="166"/>
      <c r="D8" s="106"/>
      <c r="E8" s="166" t="str">
        <f>E3</f>
        <v>T25</v>
      </c>
      <c r="F8" s="166"/>
      <c r="G8" s="106"/>
      <c r="H8" s="106"/>
      <c r="I8" s="106"/>
      <c r="J8" s="106"/>
      <c r="K8" s="166" t="str">
        <f>M3</f>
        <v>T37</v>
      </c>
      <c r="L8" s="166"/>
      <c r="M8" s="106"/>
      <c r="N8" s="166" t="str">
        <f>N3</f>
        <v>T34</v>
      </c>
      <c r="O8" s="166"/>
      <c r="P8" s="106"/>
      <c r="Q8" s="106"/>
      <c r="R8" s="106"/>
      <c r="S8" s="106"/>
      <c r="T8" s="166" t="str">
        <f>V3</f>
        <v>T38</v>
      </c>
      <c r="U8" s="166"/>
      <c r="V8" s="106"/>
      <c r="W8" s="166" t="str">
        <f>W3</f>
        <v>T38</v>
      </c>
      <c r="X8" s="166"/>
      <c r="AC8" s="144"/>
      <c r="AD8" s="145"/>
      <c r="AE8" s="145"/>
      <c r="AF8" s="145"/>
      <c r="AG8" s="146"/>
    </row>
    <row r="9" spans="1:33" ht="15" thickBot="1" x14ac:dyDescent="0.4">
      <c r="B9" s="162"/>
      <c r="C9" s="163"/>
      <c r="D9" s="106"/>
      <c r="E9" s="162"/>
      <c r="F9" s="163"/>
      <c r="G9" s="106"/>
      <c r="H9" s="106"/>
      <c r="I9" s="106"/>
      <c r="J9" s="106"/>
      <c r="K9" s="162"/>
      <c r="L9" s="163"/>
      <c r="M9" s="106"/>
      <c r="N9" s="162"/>
      <c r="O9" s="163"/>
      <c r="P9" s="106"/>
      <c r="Q9" s="106"/>
      <c r="R9" s="106"/>
      <c r="S9" s="106"/>
      <c r="T9" s="162"/>
      <c r="U9" s="163"/>
      <c r="V9" s="106"/>
      <c r="W9" s="162"/>
      <c r="X9" s="163"/>
      <c r="AC9" s="147"/>
      <c r="AD9" s="148"/>
      <c r="AE9" s="148"/>
      <c r="AF9" s="148"/>
      <c r="AG9" s="149"/>
    </row>
    <row r="10" spans="1:33" ht="15" thickBot="1" x14ac:dyDescent="0.4">
      <c r="B10" s="164"/>
      <c r="C10" s="165"/>
      <c r="D10" s="106"/>
      <c r="E10" s="164"/>
      <c r="F10" s="165"/>
      <c r="G10" s="106"/>
      <c r="H10" s="106"/>
      <c r="I10" s="106"/>
      <c r="J10" s="106"/>
      <c r="K10" s="164"/>
      <c r="L10" s="165"/>
      <c r="M10" s="106"/>
      <c r="N10" s="164"/>
      <c r="O10" s="165"/>
      <c r="P10" s="106"/>
      <c r="Q10" s="106"/>
      <c r="R10" s="106"/>
      <c r="S10" s="106"/>
      <c r="T10" s="164"/>
      <c r="U10" s="165"/>
      <c r="V10" s="106"/>
      <c r="W10" s="164"/>
      <c r="X10" s="165"/>
    </row>
    <row r="11" spans="1:33" x14ac:dyDescent="0.35">
      <c r="B11" s="171"/>
      <c r="C11" s="171"/>
      <c r="D11" s="106"/>
      <c r="E11" s="171"/>
      <c r="F11" s="171"/>
      <c r="G11" s="106"/>
      <c r="H11" s="106"/>
      <c r="I11" s="106"/>
      <c r="J11" s="106"/>
      <c r="K11" s="171"/>
      <c r="L11" s="171"/>
      <c r="M11" s="106"/>
      <c r="N11" s="171"/>
      <c r="O11" s="171"/>
      <c r="P11" s="106"/>
      <c r="Q11" s="106"/>
      <c r="R11" s="106"/>
      <c r="S11" s="106"/>
      <c r="T11" s="171"/>
      <c r="U11" s="171"/>
      <c r="V11" s="106"/>
      <c r="W11" s="171"/>
      <c r="X11" s="171"/>
    </row>
    <row r="12" spans="1:33" x14ac:dyDescent="0.35">
      <c r="B12" s="167" t="str">
        <f>'Schema!!!!!!'!F1</f>
        <v>ronde 2</v>
      </c>
      <c r="C12" s="167"/>
      <c r="D12" s="167"/>
      <c r="E12" s="167"/>
      <c r="F12" s="167"/>
      <c r="G12" s="106"/>
      <c r="H12" s="106"/>
      <c r="I12" s="106"/>
      <c r="J12" s="106"/>
      <c r="K12" s="170" t="str">
        <f>'Schema!!!!!!'!F12</f>
        <v>ronde 5</v>
      </c>
      <c r="L12" s="170"/>
      <c r="M12" s="170"/>
      <c r="N12" s="170"/>
      <c r="O12" s="170"/>
      <c r="P12" s="106"/>
      <c r="Q12" s="106"/>
      <c r="R12" s="106"/>
      <c r="S12" s="106"/>
      <c r="T12" s="167" t="str">
        <f>'Schema!!!!!!'!J23</f>
        <v>ronde 8</v>
      </c>
      <c r="U12" s="167"/>
      <c r="V12" s="167"/>
      <c r="W12" s="167"/>
      <c r="X12" s="167"/>
    </row>
    <row r="13" spans="1:33" x14ac:dyDescent="0.35">
      <c r="B13" s="167" t="str">
        <f>B2</f>
        <v>Memory Romy</v>
      </c>
      <c r="C13" s="167"/>
      <c r="D13" s="167"/>
      <c r="E13" s="167"/>
      <c r="F13" s="167"/>
      <c r="G13" s="106"/>
      <c r="H13" s="106"/>
      <c r="I13" s="106"/>
      <c r="J13" s="106"/>
      <c r="K13" s="170" t="str">
        <f>K2</f>
        <v>Memory Romy</v>
      </c>
      <c r="L13" s="170"/>
      <c r="M13" s="170"/>
      <c r="N13" s="170"/>
      <c r="O13" s="170"/>
      <c r="P13" s="106"/>
      <c r="Q13" s="106"/>
      <c r="R13" s="106"/>
      <c r="S13" s="106"/>
      <c r="T13" s="167" t="str">
        <f>T2</f>
        <v>Memory Romy</v>
      </c>
      <c r="U13" s="167"/>
      <c r="V13" s="167"/>
      <c r="W13" s="167"/>
      <c r="X13" s="167"/>
    </row>
    <row r="14" spans="1:33" ht="15" customHeight="1" x14ac:dyDescent="0.35">
      <c r="B14" s="106" t="str">
        <f>'Schema!!!!!!'!F9</f>
        <v>T12</v>
      </c>
      <c r="C14" s="106" t="str">
        <f>'Schema!!!!!!'!G9</f>
        <v>T8</v>
      </c>
      <c r="D14" s="106" t="str">
        <f>'Schema!!!!!!'!H9</f>
        <v>T31</v>
      </c>
      <c r="E14" s="106" t="str">
        <f>'Schema!!!!!!'!I9</f>
        <v>T6</v>
      </c>
      <c r="F14" s="106"/>
      <c r="G14" s="106"/>
      <c r="H14" s="106"/>
      <c r="I14" s="106"/>
      <c r="J14" s="106"/>
      <c r="K14" s="113" t="str">
        <f>'Schema!!!!!!'!F20</f>
        <v>T1</v>
      </c>
      <c r="L14" s="113" t="str">
        <f>'Schema!!!!!!'!G20</f>
        <v>T4</v>
      </c>
      <c r="M14" s="113" t="str">
        <f>'Schema!!!!!!'!H20</f>
        <v>T11</v>
      </c>
      <c r="N14" s="113" t="str">
        <f>'Schema!!!!!!'!I20</f>
        <v>T40</v>
      </c>
      <c r="O14" s="113"/>
      <c r="P14" s="106"/>
      <c r="Q14" s="106"/>
      <c r="R14" s="106"/>
      <c r="S14" s="106"/>
      <c r="T14" s="106" t="str">
        <f>'Schema!!!!!!'!J32</f>
        <v>T16</v>
      </c>
      <c r="U14" s="106" t="str">
        <f>'Schema!!!!!!'!K32</f>
        <v>T19</v>
      </c>
      <c r="V14" s="106" t="str">
        <f>'Schema!!!!!!'!L32</f>
        <v>T28</v>
      </c>
      <c r="W14" s="106" t="str">
        <f>'Schema!!!!!!'!M32</f>
        <v>T26</v>
      </c>
      <c r="X14" s="106"/>
    </row>
    <row r="15" spans="1:33" ht="15" customHeight="1" x14ac:dyDescent="0.35"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</row>
    <row r="16" spans="1:33" ht="15.75" customHeight="1" thickBot="1" x14ac:dyDescent="0.4">
      <c r="B16" s="168" t="str">
        <f>B14</f>
        <v>T12</v>
      </c>
      <c r="C16" s="168"/>
      <c r="D16" s="106"/>
      <c r="E16" s="168" t="str">
        <f>C14</f>
        <v>T8</v>
      </c>
      <c r="F16" s="168"/>
      <c r="G16" s="106"/>
      <c r="H16" s="106"/>
      <c r="I16" s="106"/>
      <c r="J16" s="106"/>
      <c r="K16" s="168" t="str">
        <f>K14</f>
        <v>T1</v>
      </c>
      <c r="L16" s="168"/>
      <c r="M16" s="106"/>
      <c r="N16" s="168" t="str">
        <f>L14</f>
        <v>T4</v>
      </c>
      <c r="O16" s="168"/>
      <c r="P16" s="106"/>
      <c r="Q16" s="106"/>
      <c r="R16" s="106"/>
      <c r="S16" s="106"/>
      <c r="T16" s="168" t="str">
        <f>T14</f>
        <v>T16</v>
      </c>
      <c r="U16" s="168"/>
      <c r="V16" s="106"/>
      <c r="W16" s="168" t="str">
        <f>U14</f>
        <v>T19</v>
      </c>
      <c r="X16" s="168"/>
    </row>
    <row r="17" spans="2:24" ht="15" customHeight="1" x14ac:dyDescent="0.35">
      <c r="B17" s="162"/>
      <c r="C17" s="163"/>
      <c r="D17" s="106"/>
      <c r="E17" s="162"/>
      <c r="F17" s="163"/>
      <c r="G17" s="106"/>
      <c r="H17" s="106"/>
      <c r="I17" s="106"/>
      <c r="J17" s="106"/>
      <c r="K17" s="162"/>
      <c r="L17" s="163"/>
      <c r="M17" s="106"/>
      <c r="N17" s="162"/>
      <c r="O17" s="163"/>
      <c r="P17" s="106"/>
      <c r="Q17" s="106"/>
      <c r="R17" s="106"/>
      <c r="S17" s="106"/>
      <c r="T17" s="162"/>
      <c r="U17" s="163"/>
      <c r="V17" s="106"/>
      <c r="W17" s="162"/>
      <c r="X17" s="163"/>
    </row>
    <row r="18" spans="2:24" ht="15.75" customHeight="1" thickBot="1" x14ac:dyDescent="0.4">
      <c r="B18" s="164"/>
      <c r="C18" s="165"/>
      <c r="D18" s="106"/>
      <c r="E18" s="164"/>
      <c r="F18" s="165"/>
      <c r="G18" s="106"/>
      <c r="H18" s="106"/>
      <c r="I18" s="106"/>
      <c r="J18" s="106"/>
      <c r="K18" s="164"/>
      <c r="L18" s="165"/>
      <c r="M18" s="106"/>
      <c r="N18" s="164"/>
      <c r="O18" s="165"/>
      <c r="P18" s="106"/>
      <c r="Q18" s="106"/>
      <c r="R18" s="106"/>
      <c r="S18" s="106"/>
      <c r="T18" s="164"/>
      <c r="U18" s="165"/>
      <c r="V18" s="106"/>
      <c r="W18" s="164"/>
      <c r="X18" s="165"/>
    </row>
    <row r="19" spans="2:24" ht="15" thickBot="1" x14ac:dyDescent="0.4">
      <c r="B19" s="166" t="str">
        <f>D14</f>
        <v>T31</v>
      </c>
      <c r="C19" s="166"/>
      <c r="D19" s="106"/>
      <c r="E19" s="166" t="str">
        <f>E14</f>
        <v>T6</v>
      </c>
      <c r="F19" s="166"/>
      <c r="G19" s="106"/>
      <c r="H19" s="106"/>
      <c r="I19" s="106"/>
      <c r="J19" s="106"/>
      <c r="K19" s="166" t="str">
        <f>M14</f>
        <v>T11</v>
      </c>
      <c r="L19" s="166"/>
      <c r="M19" s="106"/>
      <c r="N19" s="166" t="str">
        <f>N14</f>
        <v>T40</v>
      </c>
      <c r="O19" s="166"/>
      <c r="P19" s="106"/>
      <c r="Q19" s="106"/>
      <c r="R19" s="106"/>
      <c r="S19" s="106"/>
      <c r="T19" s="166" t="str">
        <f>V14</f>
        <v>T28</v>
      </c>
      <c r="U19" s="166"/>
      <c r="V19" s="106"/>
      <c r="W19" s="166" t="str">
        <f>W14</f>
        <v>T26</v>
      </c>
      <c r="X19" s="166"/>
    </row>
    <row r="20" spans="2:24" x14ac:dyDescent="0.35">
      <c r="B20" s="162"/>
      <c r="C20" s="163"/>
      <c r="D20" s="106"/>
      <c r="E20" s="162"/>
      <c r="F20" s="163"/>
      <c r="G20" s="106"/>
      <c r="H20" s="106"/>
      <c r="I20" s="106"/>
      <c r="J20" s="106"/>
      <c r="K20" s="162"/>
      <c r="L20" s="163"/>
      <c r="M20" s="106"/>
      <c r="N20" s="162"/>
      <c r="O20" s="163"/>
      <c r="P20" s="106"/>
      <c r="Q20" s="106"/>
      <c r="R20" s="106"/>
      <c r="S20" s="106"/>
      <c r="T20" s="162"/>
      <c r="U20" s="163"/>
      <c r="V20" s="106"/>
      <c r="W20" s="162"/>
      <c r="X20" s="163"/>
    </row>
    <row r="21" spans="2:24" ht="15" thickBot="1" x14ac:dyDescent="0.4">
      <c r="B21" s="164"/>
      <c r="C21" s="165"/>
      <c r="D21" s="106"/>
      <c r="E21" s="164"/>
      <c r="F21" s="165"/>
      <c r="G21" s="106"/>
      <c r="H21" s="106"/>
      <c r="I21" s="106"/>
      <c r="J21" s="106"/>
      <c r="K21" s="164"/>
      <c r="L21" s="165"/>
      <c r="M21" s="106"/>
      <c r="N21" s="164"/>
      <c r="O21" s="165"/>
      <c r="P21" s="106"/>
      <c r="Q21" s="106"/>
      <c r="R21" s="106"/>
      <c r="S21" s="106"/>
      <c r="T21" s="164"/>
      <c r="U21" s="165"/>
      <c r="V21" s="106"/>
      <c r="W21" s="164"/>
      <c r="X21" s="165"/>
    </row>
    <row r="22" spans="2:24" x14ac:dyDescent="0.35"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</row>
    <row r="23" spans="2:24" x14ac:dyDescent="0.35"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</row>
    <row r="24" spans="2:24" x14ac:dyDescent="0.35"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</row>
    <row r="25" spans="2:24" x14ac:dyDescent="0.35"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</row>
    <row r="26" spans="2:24" x14ac:dyDescent="0.35">
      <c r="B26" s="167" t="str">
        <f>'Schema!!!!!!'!J1</f>
        <v>ronde 3</v>
      </c>
      <c r="C26" s="167"/>
      <c r="D26" s="167"/>
      <c r="E26" s="167"/>
      <c r="F26" s="167"/>
      <c r="G26" s="106"/>
      <c r="H26" s="106"/>
      <c r="I26" s="106"/>
      <c r="J26" s="106"/>
      <c r="K26" s="167" t="str">
        <f>'Schema!!!!!!'!B23</f>
        <v>ronde 6</v>
      </c>
      <c r="L26" s="167"/>
      <c r="M26" s="167"/>
      <c r="N26" s="167"/>
      <c r="O26" s="167"/>
      <c r="P26" s="106"/>
      <c r="Q26" s="106"/>
      <c r="R26" s="106"/>
      <c r="S26" s="106"/>
      <c r="T26" s="167" t="str">
        <f>'Schema!!!!!!'!B34</f>
        <v>ronde 9</v>
      </c>
      <c r="U26" s="167"/>
      <c r="V26" s="167"/>
      <c r="W26" s="167"/>
      <c r="X26" s="167"/>
    </row>
    <row r="27" spans="2:24" x14ac:dyDescent="0.35">
      <c r="B27" s="167" t="str">
        <f>B2</f>
        <v>Memory Romy</v>
      </c>
      <c r="C27" s="167"/>
      <c r="D27" s="167"/>
      <c r="E27" s="167"/>
      <c r="F27" s="167"/>
      <c r="G27" s="106"/>
      <c r="H27" s="106"/>
      <c r="I27" s="106"/>
      <c r="J27" s="106"/>
      <c r="K27" s="167" t="str">
        <f>K2</f>
        <v>Memory Romy</v>
      </c>
      <c r="L27" s="167"/>
      <c r="M27" s="167"/>
      <c r="N27" s="167"/>
      <c r="O27" s="167"/>
      <c r="P27" s="106"/>
      <c r="Q27" s="106"/>
      <c r="R27" s="106"/>
      <c r="S27" s="106"/>
      <c r="T27" s="167" t="str">
        <f>T13</f>
        <v>Memory Romy</v>
      </c>
      <c r="U27" s="167"/>
      <c r="V27" s="167"/>
      <c r="W27" s="167"/>
      <c r="X27" s="167"/>
    </row>
    <row r="28" spans="2:24" x14ac:dyDescent="0.35">
      <c r="B28" s="106" t="str">
        <f>'Schema!!!!!!'!J9</f>
        <v>T7</v>
      </c>
      <c r="C28" s="106" t="str">
        <f>'Schema!!!!!!'!K9</f>
        <v>T9</v>
      </c>
      <c r="D28" s="106" t="str">
        <f>'Schema!!!!!!'!L9</f>
        <v>T5</v>
      </c>
      <c r="E28" s="106" t="str">
        <f>'Schema!!!!!!'!M9</f>
        <v>T23</v>
      </c>
      <c r="F28" s="106"/>
      <c r="G28" s="106"/>
      <c r="H28" s="106"/>
      <c r="I28" s="106"/>
      <c r="J28" s="106"/>
      <c r="K28" s="106" t="str">
        <f>'Schema!!!!!!'!B32</f>
        <v>T14</v>
      </c>
      <c r="L28" s="106" t="str">
        <f>'Schema!!!!!!'!C32</f>
        <v>T30</v>
      </c>
      <c r="M28" s="106" t="str">
        <f>'Schema!!!!!!'!D32</f>
        <v>T31</v>
      </c>
      <c r="N28" s="106" t="str">
        <f>'Schema!!!!!!'!E32</f>
        <v>T35</v>
      </c>
      <c r="O28" s="106"/>
      <c r="P28" s="106"/>
      <c r="Q28" s="106"/>
      <c r="R28" s="106"/>
      <c r="S28" s="106"/>
      <c r="T28" s="106" t="str">
        <f>'Schema!!!!!!'!B43</f>
        <v>T10</v>
      </c>
      <c r="U28" s="106" t="str">
        <f>'Schema!!!!!!'!C43</f>
        <v>T21</v>
      </c>
      <c r="V28" s="106" t="str">
        <f>'Schema!!!!!!'!D43</f>
        <v>T20</v>
      </c>
      <c r="W28" s="106" t="str">
        <f>'Schema!!!!!!'!E43</f>
        <v>T39</v>
      </c>
      <c r="X28" s="106"/>
    </row>
    <row r="29" spans="2:24" x14ac:dyDescent="0.35"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</row>
    <row r="30" spans="2:24" ht="15" thickBot="1" x14ac:dyDescent="0.4">
      <c r="B30" s="169" t="str">
        <f>B28</f>
        <v>T7</v>
      </c>
      <c r="C30" s="169"/>
      <c r="D30" s="106"/>
      <c r="E30" s="168" t="str">
        <f>C28</f>
        <v>T9</v>
      </c>
      <c r="F30" s="168"/>
      <c r="G30" s="106"/>
      <c r="H30" s="106"/>
      <c r="I30" s="106"/>
      <c r="J30" s="106"/>
      <c r="K30" s="168" t="str">
        <f>K28</f>
        <v>T14</v>
      </c>
      <c r="L30" s="168"/>
      <c r="M30" s="106"/>
      <c r="N30" s="168" t="str">
        <f>L28</f>
        <v>T30</v>
      </c>
      <c r="O30" s="168"/>
      <c r="P30" s="106"/>
      <c r="Q30" s="106"/>
      <c r="R30" s="106"/>
      <c r="S30" s="106"/>
      <c r="T30" s="168" t="str">
        <f>T28</f>
        <v>T10</v>
      </c>
      <c r="U30" s="168"/>
      <c r="V30" s="106"/>
      <c r="W30" s="168" t="str">
        <f>U28</f>
        <v>T21</v>
      </c>
      <c r="X30" s="168"/>
    </row>
    <row r="31" spans="2:24" x14ac:dyDescent="0.35">
      <c r="B31" s="162"/>
      <c r="C31" s="163"/>
      <c r="D31" s="106"/>
      <c r="E31" s="162"/>
      <c r="F31" s="163"/>
      <c r="G31" s="106"/>
      <c r="H31" s="106"/>
      <c r="I31" s="106"/>
      <c r="J31" s="106"/>
      <c r="K31" s="162"/>
      <c r="L31" s="163"/>
      <c r="M31" s="106"/>
      <c r="N31" s="162"/>
      <c r="O31" s="163"/>
      <c r="P31" s="106"/>
      <c r="Q31" s="106"/>
      <c r="R31" s="106"/>
      <c r="S31" s="106"/>
      <c r="T31" s="162"/>
      <c r="U31" s="163"/>
      <c r="V31" s="106"/>
      <c r="W31" s="162"/>
      <c r="X31" s="163"/>
    </row>
    <row r="32" spans="2:24" ht="15" thickBot="1" x14ac:dyDescent="0.4">
      <c r="B32" s="164"/>
      <c r="C32" s="165"/>
      <c r="D32" s="106"/>
      <c r="E32" s="164"/>
      <c r="F32" s="165"/>
      <c r="G32" s="106"/>
      <c r="H32" s="106"/>
      <c r="I32" s="106"/>
      <c r="J32" s="106"/>
      <c r="K32" s="164"/>
      <c r="L32" s="165"/>
      <c r="M32" s="106"/>
      <c r="N32" s="164"/>
      <c r="O32" s="165"/>
      <c r="P32" s="106"/>
      <c r="Q32" s="106"/>
      <c r="R32" s="106"/>
      <c r="S32" s="106"/>
      <c r="T32" s="164"/>
      <c r="U32" s="165"/>
      <c r="V32" s="106"/>
      <c r="W32" s="164"/>
      <c r="X32" s="165"/>
    </row>
    <row r="33" spans="2:24" ht="15" thickBot="1" x14ac:dyDescent="0.4">
      <c r="B33" s="166" t="str">
        <f>D28</f>
        <v>T5</v>
      </c>
      <c r="C33" s="166"/>
      <c r="D33" s="106"/>
      <c r="E33" s="166" t="str">
        <f>E28</f>
        <v>T23</v>
      </c>
      <c r="F33" s="166"/>
      <c r="G33" s="106"/>
      <c r="H33" s="106"/>
      <c r="I33" s="106"/>
      <c r="J33" s="106"/>
      <c r="K33" s="166" t="str">
        <f>M28</f>
        <v>T31</v>
      </c>
      <c r="L33" s="166"/>
      <c r="M33" s="106"/>
      <c r="N33" s="166" t="str">
        <f>N28</f>
        <v>T35</v>
      </c>
      <c r="O33" s="166"/>
      <c r="P33" s="106"/>
      <c r="Q33" s="106"/>
      <c r="R33" s="106"/>
      <c r="S33" s="106"/>
      <c r="T33" s="166" t="str">
        <f>V28</f>
        <v>T20</v>
      </c>
      <c r="U33" s="166"/>
      <c r="V33" s="106"/>
      <c r="W33" s="166" t="str">
        <f>W28</f>
        <v>T39</v>
      </c>
      <c r="X33" s="166"/>
    </row>
    <row r="34" spans="2:24" x14ac:dyDescent="0.35">
      <c r="B34" s="162"/>
      <c r="C34" s="163"/>
      <c r="D34" s="106"/>
      <c r="E34" s="162"/>
      <c r="F34" s="163"/>
      <c r="G34" s="106"/>
      <c r="H34" s="106"/>
      <c r="I34" s="106"/>
      <c r="J34" s="106"/>
      <c r="K34" s="162"/>
      <c r="L34" s="163"/>
      <c r="M34" s="106"/>
      <c r="N34" s="162"/>
      <c r="O34" s="163"/>
      <c r="P34" s="106"/>
      <c r="Q34" s="106"/>
      <c r="R34" s="106"/>
      <c r="S34" s="106"/>
      <c r="T34" s="162"/>
      <c r="U34" s="163"/>
      <c r="V34" s="106"/>
      <c r="W34" s="162"/>
      <c r="X34" s="163"/>
    </row>
    <row r="35" spans="2:24" ht="15" thickBot="1" x14ac:dyDescent="0.4">
      <c r="B35" s="164"/>
      <c r="C35" s="165"/>
      <c r="D35" s="106"/>
      <c r="E35" s="164"/>
      <c r="F35" s="165"/>
      <c r="G35" s="106"/>
      <c r="H35" s="106"/>
      <c r="I35" s="106"/>
      <c r="J35" s="106"/>
      <c r="K35" s="164"/>
      <c r="L35" s="165"/>
      <c r="M35" s="106"/>
      <c r="N35" s="164"/>
      <c r="O35" s="165"/>
      <c r="P35" s="106"/>
      <c r="Q35" s="106"/>
      <c r="R35" s="106"/>
      <c r="S35" s="106"/>
      <c r="T35" s="164"/>
      <c r="U35" s="165"/>
      <c r="V35" s="106"/>
      <c r="W35" s="164"/>
      <c r="X35" s="165"/>
    </row>
    <row r="36" spans="2:24" x14ac:dyDescent="0.35">
      <c r="B36" s="136"/>
      <c r="C36" s="136"/>
      <c r="E36" s="136"/>
      <c r="F36" s="136"/>
    </row>
    <row r="37" spans="2:24" x14ac:dyDescent="0.35">
      <c r="B37" s="12"/>
      <c r="C37" s="12"/>
      <c r="D37" s="12"/>
      <c r="E37" s="12"/>
      <c r="F37" s="12"/>
    </row>
    <row r="38" spans="2:24" x14ac:dyDescent="0.35">
      <c r="B38" s="12"/>
      <c r="C38" s="12"/>
      <c r="D38" s="12"/>
      <c r="E38" s="12"/>
      <c r="F38" s="12"/>
    </row>
    <row r="39" spans="2:24" x14ac:dyDescent="0.35">
      <c r="B39" s="12"/>
      <c r="C39" s="12"/>
      <c r="D39" s="12"/>
      <c r="E39" s="12"/>
      <c r="F39" s="12"/>
    </row>
    <row r="40" spans="2:24" x14ac:dyDescent="0.35">
      <c r="B40" s="12"/>
      <c r="C40" s="12"/>
      <c r="D40" s="12"/>
      <c r="E40" s="12"/>
      <c r="F40" s="12"/>
    </row>
    <row r="41" spans="2:24" x14ac:dyDescent="0.35">
      <c r="B41" s="12"/>
      <c r="C41" s="12"/>
      <c r="D41" s="12"/>
      <c r="E41" s="12"/>
      <c r="F41" s="12"/>
    </row>
    <row r="42" spans="2:24" x14ac:dyDescent="0.35">
      <c r="B42" s="12"/>
      <c r="C42" s="12"/>
      <c r="D42" s="12"/>
      <c r="E42" s="12"/>
      <c r="F42" s="12"/>
    </row>
  </sheetData>
  <mergeCells count="101">
    <mergeCell ref="AC1:AG1"/>
    <mergeCell ref="AC2:AG2"/>
    <mergeCell ref="AC5:AG9"/>
    <mergeCell ref="W5:X5"/>
    <mergeCell ref="B1:F1"/>
    <mergeCell ref="K1:O1"/>
    <mergeCell ref="T1:X1"/>
    <mergeCell ref="B2:F2"/>
    <mergeCell ref="K2:O2"/>
    <mergeCell ref="T2:X2"/>
    <mergeCell ref="B5:C5"/>
    <mergeCell ref="E5:F5"/>
    <mergeCell ref="K5:L5"/>
    <mergeCell ref="N5:O5"/>
    <mergeCell ref="T5:U5"/>
    <mergeCell ref="W8:X8"/>
    <mergeCell ref="B6:C7"/>
    <mergeCell ref="E6:F7"/>
    <mergeCell ref="K6:L7"/>
    <mergeCell ref="N6:O7"/>
    <mergeCell ref="T6:U7"/>
    <mergeCell ref="W6:X7"/>
    <mergeCell ref="B8:C8"/>
    <mergeCell ref="E8:F8"/>
    <mergeCell ref="K8:L8"/>
    <mergeCell ref="N8:O8"/>
    <mergeCell ref="T8:U8"/>
    <mergeCell ref="W11:X11"/>
    <mergeCell ref="B9:C10"/>
    <mergeCell ref="E9:F10"/>
    <mergeCell ref="K9:L10"/>
    <mergeCell ref="N9:O10"/>
    <mergeCell ref="T9:U10"/>
    <mergeCell ref="W9:X10"/>
    <mergeCell ref="B11:C11"/>
    <mergeCell ref="E11:F11"/>
    <mergeCell ref="K11:L11"/>
    <mergeCell ref="N11:O11"/>
    <mergeCell ref="T11:U11"/>
    <mergeCell ref="B12:F12"/>
    <mergeCell ref="K12:O12"/>
    <mergeCell ref="T12:X12"/>
    <mergeCell ref="B13:F13"/>
    <mergeCell ref="K13:O13"/>
    <mergeCell ref="T13:X13"/>
    <mergeCell ref="B16:C16"/>
    <mergeCell ref="E16:F16"/>
    <mergeCell ref="T16:U16"/>
    <mergeCell ref="W16:X16"/>
    <mergeCell ref="B17:C18"/>
    <mergeCell ref="E17:F18"/>
    <mergeCell ref="T17:U18"/>
    <mergeCell ref="W17:X18"/>
    <mergeCell ref="K16:L16"/>
    <mergeCell ref="N16:O16"/>
    <mergeCell ref="K17:L18"/>
    <mergeCell ref="N17:O18"/>
    <mergeCell ref="B19:C19"/>
    <mergeCell ref="E19:F19"/>
    <mergeCell ref="T19:U19"/>
    <mergeCell ref="W19:X19"/>
    <mergeCell ref="B20:C21"/>
    <mergeCell ref="E20:F21"/>
    <mergeCell ref="T20:U21"/>
    <mergeCell ref="W20:X21"/>
    <mergeCell ref="K19:L19"/>
    <mergeCell ref="N19:O19"/>
    <mergeCell ref="K20:L21"/>
    <mergeCell ref="N20:O21"/>
    <mergeCell ref="B26:F26"/>
    <mergeCell ref="K26:O26"/>
    <mergeCell ref="T26:X26"/>
    <mergeCell ref="B27:F27"/>
    <mergeCell ref="K27:O27"/>
    <mergeCell ref="T27:X27"/>
    <mergeCell ref="W31:X32"/>
    <mergeCell ref="B30:C30"/>
    <mergeCell ref="E30:F30"/>
    <mergeCell ref="K30:L30"/>
    <mergeCell ref="N30:O30"/>
    <mergeCell ref="T30:U30"/>
    <mergeCell ref="W30:X30"/>
    <mergeCell ref="B31:C32"/>
    <mergeCell ref="E31:F32"/>
    <mergeCell ref="K31:L32"/>
    <mergeCell ref="N31:O32"/>
    <mergeCell ref="T31:U32"/>
    <mergeCell ref="B36:C36"/>
    <mergeCell ref="E36:F36"/>
    <mergeCell ref="B34:C35"/>
    <mergeCell ref="E34:F35"/>
    <mergeCell ref="K34:L35"/>
    <mergeCell ref="N34:O35"/>
    <mergeCell ref="T34:U35"/>
    <mergeCell ref="W34:X35"/>
    <mergeCell ref="B33:C33"/>
    <mergeCell ref="E33:F33"/>
    <mergeCell ref="K33:L33"/>
    <mergeCell ref="N33:O33"/>
    <mergeCell ref="T33:U33"/>
    <mergeCell ref="W33:X33"/>
  </mergeCells>
  <pageMargins left="0.70000000000000007" right="0.70000000000000007" top="0.75" bottom="0.75" header="0.30000000000000004" footer="0.30000000000000004"/>
  <pageSetup paperSize="9" orientation="portrait" r:id="rId1"/>
  <colBreaks count="2" manualBreakCount="2">
    <brk id="17" max="1048575" man="1"/>
    <brk id="2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Schema!!!!!!</vt:lpstr>
      <vt:lpstr>Salty potato</vt:lpstr>
      <vt:lpstr>Pony polo</vt:lpstr>
      <vt:lpstr>Straat van Hormuz</vt:lpstr>
      <vt:lpstr>Red Claes Compaen</vt:lpstr>
      <vt:lpstr>Nick eten</vt:lpstr>
      <vt:lpstr>Danoontje Power</vt:lpstr>
      <vt:lpstr>Kamelen race</vt:lpstr>
      <vt:lpstr>Memory Romy</vt:lpstr>
      <vt:lpstr>'Danoontje Power'!Print_Area</vt:lpstr>
      <vt:lpstr>'Kamelen race'!Print_Area</vt:lpstr>
      <vt:lpstr>'Memory Romy'!Print_Area</vt:lpstr>
      <vt:lpstr>'Nick eten'!Print_Area</vt:lpstr>
      <vt:lpstr>'Pony polo'!Print_Area</vt:lpstr>
      <vt:lpstr>'Red Claes Compaen'!Print_Area</vt:lpstr>
      <vt:lpstr>'Salty potato'!Print_Area</vt:lpstr>
      <vt:lpstr>'Schema!!!!!!'!Print_Area</vt:lpstr>
      <vt:lpstr>'Straat van Hormuz'!Print_Area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</dc:creator>
  <cp:keywords/>
  <cp:lastModifiedBy>MORSINK Guido</cp:lastModifiedBy>
  <cp:lastPrinted>2026-05-21T17:40:44Z</cp:lastPrinted>
  <dcterms:created xsi:type="dcterms:W3CDTF">2016-04-25T17:04:18Z</dcterms:created>
  <dcterms:modified xsi:type="dcterms:W3CDTF">2026-05-21T17:54:58Z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M_Namespace">
    <vt:lpwstr>2021.1.thalesgroup.com</vt:lpwstr>
  </property>
  <property fmtid="{D5CDD505-2E9C-101B-9397-08002B2CF9AE}" pid="3" name="PMUuid">
    <vt:lpwstr>v=2022.2;d=thalesgroup.com;g=1C0CED49-5D7F-51D3-9A72-030A25EC3EAF</vt:lpwstr>
  </property>
  <property fmtid="{D5CDD505-2E9C-101B-9397-08002B2CF9AE}" pid="4" name="PM_SpecialHandlingCaveat">
    <vt:lpwstr>81F61E28</vt:lpwstr>
  </property>
  <property fmtid="{D5CDD505-2E9C-101B-9397-08002B2CF9AE}" pid="5" name="PM_Version">
    <vt:lpwstr>2023.1</vt:lpwstr>
  </property>
  <property fmtid="{D5CDD505-2E9C-101B-9397-08002B2CF9AE}" pid="6" name="PM_Note">
    <vt:lpwstr/>
  </property>
  <property fmtid="{D5CDD505-2E9C-101B-9397-08002B2CF9AE}" pid="7" name="PMHMAC">
    <vt:lpwstr>v=2024.1;a=SHA256;h=3EB3CD78D7ACF9AD435D31D717BBA841AD2499E5B247BF5BF82B54DC59FDDC92</vt:lpwstr>
  </property>
  <property fmtid="{D5CDD505-2E9C-101B-9397-08002B2CF9AE}" pid="8" name="PM_Qualifier">
    <vt:lpwstr/>
  </property>
  <property fmtid="{D5CDD505-2E9C-101B-9397-08002B2CF9AE}" pid="9" name="PM_SecurityClassification">
    <vt:lpwstr>D04FB6C2</vt:lpwstr>
  </property>
  <property fmtid="{D5CDD505-2E9C-101B-9397-08002B2CF9AE}" pid="10" name="PM_ProtectiveMarkingValue_Header">
    <vt:lpwstr>{OPEN}</vt:lpwstr>
  </property>
  <property fmtid="{D5CDD505-2E9C-101B-9397-08002B2CF9AE}" pid="11" name="MSIP_Label_64c9cc36-7289-4c96-81d0-25ee8eefd11d_SetDate">
    <vt:lpwstr>2025-06-06T07:35:56Z</vt:lpwstr>
  </property>
  <property fmtid="{D5CDD505-2E9C-101B-9397-08002B2CF9AE}" pid="12" name="PM_OriginationTimeStamp">
    <vt:lpwstr>2025-06-06T07:35:56Z</vt:lpwstr>
  </property>
  <property fmtid="{D5CDD505-2E9C-101B-9397-08002B2CF9AE}" pid="13" name="PM_Markers">
    <vt:lpwstr/>
  </property>
  <property fmtid="{D5CDD505-2E9C-101B-9397-08002B2CF9AE}" pid="14" name="PM_Caveats_Count">
    <vt:lpwstr>0</vt:lpwstr>
  </property>
  <property fmtid="{D5CDD505-2E9C-101B-9397-08002B2CF9AE}" pid="15" name="PM_DownTo">
    <vt:lpwstr/>
  </property>
  <property fmtid="{D5CDD505-2E9C-101B-9397-08002B2CF9AE}" pid="16" name="PM_DisplayValueSecClassificationWithQualifier">
    <vt:lpwstr>Classified as: {THALES GROUP OPEN}_x000d_
Contains content that is: {NOT EXPORT CONTROLLED}</vt:lpwstr>
  </property>
  <property fmtid="{D5CDD505-2E9C-101B-9397-08002B2CF9AE}" pid="17" name="PM_Expires">
    <vt:lpwstr/>
  </property>
  <property fmtid="{D5CDD505-2E9C-101B-9397-08002B2CF9AE}" pid="18" name="PM_InsertionValue">
    <vt:lpwstr>OPEN</vt:lpwstr>
  </property>
  <property fmtid="{D5CDD505-2E9C-101B-9397-08002B2CF9AE}" pid="19" name="PM_DowngradeTo">
    <vt:lpwstr/>
  </property>
  <property fmtid="{D5CDD505-2E9C-101B-9397-08002B2CF9AE}" pid="20" name="MSIP_Label_64c9cc36-7289-4c96-81d0-25ee8eefd11d_Name">
    <vt:lpwstr>D04FB6C2</vt:lpwstr>
  </property>
  <property fmtid="{D5CDD505-2E9C-101B-9397-08002B2CF9AE}" pid="21" name="MSIP_Label_64c9cc36-7289-4c96-81d0-25ee8eefd11d_SiteId">
    <vt:lpwstr>6e603289-5e46-4e26-ac7c-03a85420a9a5</vt:lpwstr>
  </property>
  <property fmtid="{D5CDD505-2E9C-101B-9397-08002B2CF9AE}" pid="22" name="MSIP_Label_64c9cc36-7289-4c96-81d0-25ee8eefd11d_Enabled">
    <vt:lpwstr>true</vt:lpwstr>
  </property>
  <property fmtid="{D5CDD505-2E9C-101B-9397-08002B2CF9AE}" pid="23" name="PM_Hash_SHA1">
    <vt:lpwstr>9710B8A7378280AFE3BC3095B4EAA96D68CCC441</vt:lpwstr>
  </property>
  <property fmtid="{D5CDD505-2E9C-101B-9397-08002B2CF9AE}" pid="24" name="MSIP_Label_64c9cc36-7289-4c96-81d0-25ee8eefd11d_Method">
    <vt:lpwstr>Privileged</vt:lpwstr>
  </property>
  <property fmtid="{D5CDD505-2E9C-101B-9397-08002B2CF9AE}" pid="25" name="MSIP_Label_64c9cc36-7289-4c96-81d0-25ee8eefd11d_ContentBits">
    <vt:lpwstr>3</vt:lpwstr>
  </property>
  <property fmtid="{D5CDD505-2E9C-101B-9397-08002B2CF9AE}" pid="26" name="PM_Display">
    <vt:lpwstr>Classified as: {THALES GROUP OPEN}_x000d_
Contains content that is: {NOT EXPORT CONTROLLED}</vt:lpwstr>
  </property>
  <property fmtid="{D5CDD505-2E9C-101B-9397-08002B2CF9AE}" pid="27" name="MSIP_Label_64c9cc36-7289-4c96-81d0-25ee8eefd11d_ActionId">
    <vt:lpwstr>dfc024baf62543e596b89da33157adfd</vt:lpwstr>
  </property>
  <property fmtid="{D5CDD505-2E9C-101B-9397-08002B2CF9AE}" pid="28" name="PM_Originator_Hash_SHA1">
    <vt:lpwstr>B7EF627C3EE8B2EC211D91E8AB24F51B865C2C8D</vt:lpwstr>
  </property>
  <property fmtid="{D5CDD505-2E9C-101B-9397-08002B2CF9AE}" pid="29" name="PM_Originating_FileId">
    <vt:lpwstr>81FD49004F344393B831F8C8CC8D7463</vt:lpwstr>
  </property>
  <property fmtid="{D5CDD505-2E9C-101B-9397-08002B2CF9AE}" pid="30" name="PM_ProtectiveMarkingValue_Footer">
    <vt:lpwstr>{OPEN}</vt:lpwstr>
  </property>
  <property fmtid="{D5CDD505-2E9C-101B-9397-08002B2CF9AE}" pid="31" name="PM_OriginatorUserAccountName_SHA256">
    <vt:lpwstr>363F1BCF6EDF1D82A737C1DC245DA0F5D1BE95BDF963E48B2BBB13E1A635708A</vt:lpwstr>
  </property>
  <property fmtid="{D5CDD505-2E9C-101B-9397-08002B2CF9AE}" pid="32" name="PM_OriginatorDomainName_SHA256">
    <vt:lpwstr>24702B837DE678DDBCB7B699318648E0BD21950824EF7D70E69B9C3F8A5768E7</vt:lpwstr>
  </property>
  <property fmtid="{D5CDD505-2E9C-101B-9397-08002B2CF9AE}" pid="33" name="PM_Hash_Version">
    <vt:lpwstr>2024.1</vt:lpwstr>
  </property>
  <property fmtid="{D5CDD505-2E9C-101B-9397-08002B2CF9AE}" pid="34" name="PM_Hash_Salt_Prev">
    <vt:lpwstr>C8B43937BAA21083449842EA34D24BCD</vt:lpwstr>
  </property>
  <property fmtid="{D5CDD505-2E9C-101B-9397-08002B2CF9AE}" pid="35" name="PM_Hash_Salt">
    <vt:lpwstr>9DD6178D38B02040E87C08A00648E189</vt:lpwstr>
  </property>
  <property fmtid="{D5CDD505-2E9C-101B-9397-08002B2CF9AE}" pid="36" name="PM_SecurityClassification_Prev">
    <vt:lpwstr>D04FB6C2</vt:lpwstr>
  </property>
  <property fmtid="{D5CDD505-2E9C-101B-9397-08002B2CF9AE}" pid="37" name="PM_Qualifier_Prev">
    <vt:lpwstr/>
  </property>
</Properties>
</file>